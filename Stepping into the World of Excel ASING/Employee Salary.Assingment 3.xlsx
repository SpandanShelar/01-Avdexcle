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pandanshelar/Documents/01-excle/Stepping into the World of Excel ASING/"/>
    </mc:Choice>
  </mc:AlternateContent>
  <xr:revisionPtr revIDLastSave="0" documentId="8_{7E1ABC56-DEC2-0A4D-A88B-F83DCDC0E758}" xr6:coauthVersionLast="47" xr6:coauthVersionMax="47" xr10:uidLastSave="{00000000-0000-0000-0000-000000000000}"/>
  <bookViews>
    <workbookView xWindow="0" yWindow="0" windowWidth="25600" windowHeight="16000" activeTab="3" xr2:uid="{00000000-000D-0000-FFFF-FFFF00000000}"/>
  </bookViews>
  <sheets>
    <sheet name="Basic Pay" sheetId="1" r:id="rId1"/>
    <sheet name="HRA" sheetId="2" r:id="rId2"/>
    <sheet name="DA" sheetId="3" r:id="rId3"/>
    <sheet name="gross salar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D6" i="4"/>
  <c r="D7" i="4"/>
  <c r="D8" i="4"/>
  <c r="D9" i="4"/>
  <c r="D10" i="4"/>
  <c r="D11" i="4"/>
  <c r="D12" i="4"/>
  <c r="D13" i="4"/>
  <c r="D14" i="4"/>
  <c r="C6" i="4"/>
  <c r="C7" i="4"/>
  <c r="C8" i="4"/>
  <c r="C9" i="4"/>
  <c r="C10" i="4"/>
  <c r="C11" i="4"/>
  <c r="C12" i="4"/>
  <c r="C13" i="4"/>
  <c r="C14" i="4"/>
  <c r="B12" i="4"/>
  <c r="B13" i="4"/>
  <c r="B14" i="4"/>
  <c r="B6" i="4"/>
  <c r="B7" i="4"/>
  <c r="B8" i="4"/>
  <c r="B9" i="4"/>
  <c r="B10" i="4"/>
  <c r="B11" i="4"/>
  <c r="D5" i="4"/>
  <c r="C5" i="4"/>
  <c r="B5" i="4"/>
  <c r="D6" i="3"/>
  <c r="D7" i="3"/>
  <c r="D8" i="3"/>
  <c r="D9" i="3"/>
  <c r="D10" i="3"/>
  <c r="D11" i="3"/>
  <c r="D12" i="3"/>
  <c r="D13" i="3"/>
  <c r="D14" i="3"/>
  <c r="D5" i="3"/>
  <c r="E7" i="4" l="1"/>
  <c r="D7" i="2"/>
  <c r="F7" i="4" s="1"/>
  <c r="E8" i="4"/>
  <c r="D8" i="2"/>
  <c r="F8" i="4" s="1"/>
  <c r="E9" i="4"/>
  <c r="D9" i="2"/>
  <c r="F9" i="4" s="1"/>
  <c r="E10" i="4"/>
  <c r="D10" i="2"/>
  <c r="F10" i="4" s="1"/>
  <c r="E11" i="4"/>
  <c r="D11" i="2"/>
  <c r="F11" i="4" s="1"/>
  <c r="E12" i="4"/>
  <c r="D12" i="2"/>
  <c r="F12" i="4" s="1"/>
  <c r="E13" i="4"/>
  <c r="D13" i="2"/>
  <c r="F13" i="4" s="1"/>
  <c r="E14" i="4"/>
  <c r="D14" i="2"/>
  <c r="F14" i="4" s="1"/>
  <c r="E5" i="4"/>
  <c r="G5" i="4" s="1"/>
  <c r="D5" i="2"/>
  <c r="F5" i="4" s="1"/>
  <c r="E6" i="4"/>
  <c r="D6" i="2"/>
  <c r="F6" i="4" s="1"/>
</calcChain>
</file>

<file path=xl/sharedStrings.xml><?xml version="1.0" encoding="utf-8"?>
<sst xmlns="http://schemas.openxmlformats.org/spreadsheetml/2006/main" count="52" uniqueCount="28">
  <si>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</si>
  <si>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</si>
  <si>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</si>
  <si>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</si>
  <si>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</si>
  <si>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</si>
  <si>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</si>
  <si>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</si>
  <si>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</si>
  <si>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</si>
  <si>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</si>
  <si>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</si>
  <si>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</si>
  <si>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</si>
  <si>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</si>
  <si>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</si>
  <si>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</si>
  <si>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</si>
  <si>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DA Rate</t>
  </si>
  <si>
    <t xml:space="preserve">HRA Rate </t>
  </si>
  <si>
    <t>Gross salary of Employees</t>
  </si>
  <si>
    <t>Emp id</t>
  </si>
  <si>
    <t>Emp Name</t>
  </si>
  <si>
    <t>Emp Basic Pay</t>
  </si>
  <si>
    <t>Emp DA</t>
  </si>
  <si>
    <t>Emp HRA</t>
  </si>
  <si>
    <t>Emp Gross salary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</si>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</sst>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/>
    <xf numFmtId="9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quotePrefix="1" applyFont="1"/>
    <xf numFmtId="0" fontId="1" fillId="0" borderId="1" xfId="0" quotePrefix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1" fillId="6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zoomScaleNormal="100" workbookViewId="0">
      <selection activeCell="D6" sqref="D6"/>
    </sheetView>
  </sheetViews>
  <sheetFormatPr baseColWidth="10" defaultColWidth="8.83203125" defaultRowHeight="13" x14ac:dyDescent="0.15"/>
  <cols>
    <col min="2" max="2" width="15.33203125" customWidth="1"/>
    <col min="3" max="3" width="22" customWidth="1"/>
    <col min="4" max="4" width="25.5" customWidth="1"/>
  </cols>
  <sheetData>
    <row r="3" spans="2:4" x14ac:dyDescent="0.15">
      <c r="B3" s="4" t="s">
        <v>0</v>
      </c>
      <c r="C3" s="4"/>
      <c r="D3" s="4"/>
    </row>
    <row r="4" spans="2:4" x14ac:dyDescent="0.15">
      <c r="B4" s="2" t="s">
        <v>2</v>
      </c>
      <c r="C4" s="2" t="s">
        <v>1</v>
      </c>
      <c r="D4" s="2" t="s">
        <v>15</v>
      </c>
    </row>
    <row r="5" spans="2:4" x14ac:dyDescent="0.15">
      <c r="B5" s="2">
        <v>5001</v>
      </c>
      <c r="C5" s="2" t="s">
        <v>3</v>
      </c>
      <c r="D5" s="2">
        <v>4500</v>
      </c>
    </row>
    <row r="6" spans="2:4" x14ac:dyDescent="0.15">
      <c r="B6" s="2">
        <v>5003</v>
      </c>
      <c r="C6" s="2" t="s">
        <v>4</v>
      </c>
      <c r="D6" s="2">
        <v>2500</v>
      </c>
    </row>
    <row r="7" spans="2:4" x14ac:dyDescent="0.15">
      <c r="B7" s="2">
        <v>5098</v>
      </c>
      <c r="C7" s="2" t="s">
        <v>5</v>
      </c>
      <c r="D7" s="2">
        <v>4500</v>
      </c>
    </row>
    <row r="8" spans="2:4" x14ac:dyDescent="0.15">
      <c r="B8" s="2">
        <v>5689</v>
      </c>
      <c r="C8" s="2" t="s">
        <v>6</v>
      </c>
      <c r="D8" s="2">
        <v>3200</v>
      </c>
    </row>
    <row r="9" spans="2:4" x14ac:dyDescent="0.15">
      <c r="B9" s="2">
        <v>5764</v>
      </c>
      <c r="C9" s="2" t="s">
        <v>7</v>
      </c>
      <c r="D9" s="2">
        <v>1223</v>
      </c>
    </row>
    <row r="10" spans="2:4" x14ac:dyDescent="0.15">
      <c r="B10" s="2">
        <v>5091</v>
      </c>
      <c r="C10" s="2" t="s">
        <v>8</v>
      </c>
      <c r="D10" s="2">
        <v>7890</v>
      </c>
    </row>
    <row r="11" spans="2:4" x14ac:dyDescent="0.15">
      <c r="B11" s="2">
        <v>5673</v>
      </c>
      <c r="C11" s="2" t="s">
        <v>9</v>
      </c>
      <c r="D11" s="2">
        <v>6500</v>
      </c>
    </row>
    <row r="12" spans="2:4" x14ac:dyDescent="0.15">
      <c r="B12" s="2">
        <v>5901</v>
      </c>
      <c r="C12" s="2" t="s">
        <v>10</v>
      </c>
      <c r="D12" s="2">
        <v>5479</v>
      </c>
    </row>
    <row r="13" spans="2:4" x14ac:dyDescent="0.15">
      <c r="B13" s="2">
        <v>5764</v>
      </c>
      <c r="C13" s="2" t="s">
        <v>11</v>
      </c>
      <c r="D13" s="2">
        <v>3456</v>
      </c>
    </row>
    <row r="14" spans="2:4" x14ac:dyDescent="0.15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4"/>
  <sheetViews>
    <sheetView zoomScale="180" workbookViewId="0">
      <selection activeCell="D5" sqref="D5:D14"/>
    </sheetView>
  </sheetViews>
  <sheetFormatPr baseColWidth="10" defaultColWidth="8.83203125" defaultRowHeight="13" x14ac:dyDescent="0.15"/>
  <cols>
    <col min="2" max="2" width="15.33203125" customWidth="1"/>
    <col min="3" max="3" width="22" customWidth="1"/>
    <col min="4" max="4" width="25.5" customWidth="1"/>
  </cols>
  <sheetData>
    <row r="3" spans="2:7" x14ac:dyDescent="0.15">
      <c r="B3" s="5" t="s">
        <v>13</v>
      </c>
      <c r="C3" s="5"/>
      <c r="D3" s="5"/>
    </row>
    <row r="4" spans="2:7" x14ac:dyDescent="0.15">
      <c r="B4" s="1" t="s">
        <v>2</v>
      </c>
      <c r="C4" s="1" t="s">
        <v>1</v>
      </c>
      <c r="D4" s="1" t="s">
        <v>14</v>
      </c>
    </row>
    <row r="5" spans="2:7" x14ac:dyDescent="0.15">
      <c r="B5" s="1">
        <v>5001</v>
      </c>
      <c r="C5" s="1" t="s">
        <v>3</v>
      </c>
      <c r="D5" s="1">
        <f>('Basic Pay'!D5+DA!D5)*$G$5</f>
        <v>2520</v>
      </c>
      <c r="F5" s="9" t="s">
        <v>19</v>
      </c>
      <c r="G5" s="7">
        <v>0.5</v>
      </c>
    </row>
    <row r="6" spans="2:7" x14ac:dyDescent="0.15">
      <c r="B6" s="1">
        <v>5003</v>
      </c>
      <c r="C6" s="1" t="s">
        <v>4</v>
      </c>
      <c r="D6" s="1">
        <f>('Basic Pay'!D6+DA!D6)*$G$5</f>
        <v>1400</v>
      </c>
    </row>
    <row r="7" spans="2:7" x14ac:dyDescent="0.15">
      <c r="B7" s="1">
        <v>5098</v>
      </c>
      <c r="C7" s="1" t="s">
        <v>5</v>
      </c>
      <c r="D7" s="1">
        <f>('Basic Pay'!D7+DA!D7)*$G$5</f>
        <v>2520</v>
      </c>
    </row>
    <row r="8" spans="2:7" x14ac:dyDescent="0.15">
      <c r="B8" s="1">
        <v>5689</v>
      </c>
      <c r="C8" s="1" t="s">
        <v>6</v>
      </c>
      <c r="D8" s="1">
        <f>('Basic Pay'!D8+DA!D8)*$G$5</f>
        <v>1792</v>
      </c>
    </row>
    <row r="9" spans="2:7" x14ac:dyDescent="0.15">
      <c r="B9" s="1">
        <v>5764</v>
      </c>
      <c r="C9" s="1" t="s">
        <v>7</v>
      </c>
      <c r="D9" s="1">
        <f>('Basic Pay'!D9+DA!D9)*$G$5</f>
        <v>684.88</v>
      </c>
    </row>
    <row r="10" spans="2:7" x14ac:dyDescent="0.15">
      <c r="B10" s="1">
        <v>5091</v>
      </c>
      <c r="C10" s="1" t="s">
        <v>8</v>
      </c>
      <c r="D10" s="1">
        <f>('Basic Pay'!D10+DA!D10)*$G$5</f>
        <v>4418.3999999999996</v>
      </c>
    </row>
    <row r="11" spans="2:7" x14ac:dyDescent="0.15">
      <c r="B11" s="1">
        <v>5673</v>
      </c>
      <c r="C11" s="1" t="s">
        <v>9</v>
      </c>
      <c r="D11" s="1">
        <f>('Basic Pay'!D11+DA!D11)*$G$5</f>
        <v>3640</v>
      </c>
    </row>
    <row r="12" spans="2:7" x14ac:dyDescent="0.15">
      <c r="B12" s="1">
        <v>5901</v>
      </c>
      <c r="C12" s="1" t="s">
        <v>10</v>
      </c>
      <c r="D12" s="1">
        <f>('Basic Pay'!D12+DA!D12)*$G$5</f>
        <v>3068.24</v>
      </c>
    </row>
    <row r="13" spans="2:7" x14ac:dyDescent="0.15">
      <c r="B13" s="1">
        <v>5764</v>
      </c>
      <c r="C13" s="1" t="s">
        <v>11</v>
      </c>
      <c r="D13" s="1">
        <f>('Basic Pay'!D13+DA!D13)*$G$5</f>
        <v>1935.36</v>
      </c>
    </row>
    <row r="14" spans="2:7" x14ac:dyDescent="0.15">
      <c r="B14" s="1">
        <v>5555</v>
      </c>
      <c r="C14" s="1" t="s">
        <v>12</v>
      </c>
      <c r="D14" s="1">
        <f>('Basic Pay'!D14+DA!D14)*$G$5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14"/>
  <sheetViews>
    <sheetView zoomScale="156" workbookViewId="0">
      <selection activeCell="G5" sqref="G5"/>
    </sheetView>
  </sheetViews>
  <sheetFormatPr baseColWidth="10" defaultColWidth="8.83203125" defaultRowHeight="13" x14ac:dyDescent="0.15"/>
  <cols>
    <col min="2" max="2" width="15.33203125" customWidth="1"/>
    <col min="3" max="3" width="22" customWidth="1"/>
    <col min="4" max="4" width="25.5" customWidth="1"/>
  </cols>
  <sheetData>
    <row r="3" spans="2:7" x14ac:dyDescent="0.15">
      <c r="B3" s="3" t="s">
        <v>16</v>
      </c>
      <c r="C3" s="3"/>
      <c r="D3" s="3"/>
    </row>
    <row r="4" spans="2:7" x14ac:dyDescent="0.15">
      <c r="B4" s="1" t="s">
        <v>2</v>
      </c>
      <c r="C4" s="1" t="s">
        <v>1</v>
      </c>
      <c r="D4" s="1" t="s">
        <v>17</v>
      </c>
    </row>
    <row r="5" spans="2:7" x14ac:dyDescent="0.15">
      <c r="B5" s="1">
        <v>5001</v>
      </c>
      <c r="C5" s="1" t="s">
        <v>3</v>
      </c>
      <c r="D5" s="8">
        <f>'Basic Pay'!D5*$G$5</f>
        <v>540</v>
      </c>
      <c r="F5" s="6" t="s">
        <v>18</v>
      </c>
      <c r="G5" s="7">
        <v>0.12</v>
      </c>
    </row>
    <row r="6" spans="2:7" x14ac:dyDescent="0.15">
      <c r="B6" s="1">
        <v>5003</v>
      </c>
      <c r="C6" s="1" t="s">
        <v>4</v>
      </c>
      <c r="D6" s="8">
        <f>'Basic Pay'!D6*$G$5</f>
        <v>300</v>
      </c>
    </row>
    <row r="7" spans="2:7" x14ac:dyDescent="0.15">
      <c r="B7" s="1">
        <v>5098</v>
      </c>
      <c r="C7" s="1" t="s">
        <v>5</v>
      </c>
      <c r="D7" s="8">
        <f>'Basic Pay'!D7*$G$5</f>
        <v>540</v>
      </c>
    </row>
    <row r="8" spans="2:7" x14ac:dyDescent="0.15">
      <c r="B8" s="1">
        <v>5689</v>
      </c>
      <c r="C8" s="1" t="s">
        <v>6</v>
      </c>
      <c r="D8" s="8">
        <f>'Basic Pay'!D8*$G$5</f>
        <v>384</v>
      </c>
    </row>
    <row r="9" spans="2:7" x14ac:dyDescent="0.15">
      <c r="B9" s="1">
        <v>5764</v>
      </c>
      <c r="C9" s="1" t="s">
        <v>7</v>
      </c>
      <c r="D9" s="8">
        <f>'Basic Pay'!D9*$G$5</f>
        <v>146.76</v>
      </c>
    </row>
    <row r="10" spans="2:7" x14ac:dyDescent="0.15">
      <c r="B10" s="1">
        <v>5091</v>
      </c>
      <c r="C10" s="1" t="s">
        <v>8</v>
      </c>
      <c r="D10" s="8">
        <f>'Basic Pay'!D10*$G$5</f>
        <v>946.8</v>
      </c>
    </row>
    <row r="11" spans="2:7" x14ac:dyDescent="0.15">
      <c r="B11" s="1">
        <v>5673</v>
      </c>
      <c r="C11" s="1" t="s">
        <v>9</v>
      </c>
      <c r="D11" s="8">
        <f>'Basic Pay'!D11*$G$5</f>
        <v>780</v>
      </c>
    </row>
    <row r="12" spans="2:7" x14ac:dyDescent="0.15">
      <c r="B12" s="1">
        <v>5901</v>
      </c>
      <c r="C12" s="1" t="s">
        <v>10</v>
      </c>
      <c r="D12" s="8">
        <f>'Basic Pay'!D12*$G$5</f>
        <v>657.48</v>
      </c>
    </row>
    <row r="13" spans="2:7" x14ac:dyDescent="0.15">
      <c r="B13" s="1">
        <v>5764</v>
      </c>
      <c r="C13" s="1" t="s">
        <v>11</v>
      </c>
      <c r="D13" s="8">
        <f>'Basic Pay'!D13*$G$5</f>
        <v>414.71999999999997</v>
      </c>
    </row>
    <row r="14" spans="2:7" x14ac:dyDescent="0.15">
      <c r="B14" s="1">
        <v>5555</v>
      </c>
      <c r="C14" s="1" t="s">
        <v>12</v>
      </c>
      <c r="D14" s="8">
        <f>'Basic Pay'!D14*$G$5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BF33-5277-8445-9997-B3A678C42BC9}">
  <dimension ref="A3:G17"/>
  <sheetViews>
    <sheetView tabSelected="1" zoomScale="132" workbookViewId="0">
      <selection activeCell="G9" sqref="G9"/>
    </sheetView>
  </sheetViews>
  <sheetFormatPr baseColWidth="10" defaultRowHeight="13" x14ac:dyDescent="0.15"/>
  <cols>
    <col min="1" max="1" width="16" customWidth="1"/>
    <col min="3" max="4" width="12.83203125" bestFit="1" customWidth="1"/>
    <col min="6" max="6" width="14.6640625" bestFit="1" customWidth="1"/>
    <col min="7" max="7" width="13.83203125" customWidth="1"/>
  </cols>
  <sheetData>
    <row r="3" spans="1:7" x14ac:dyDescent="0.15">
      <c r="D3" s="15" t="s">
        <v>20</v>
      </c>
      <c r="E3" s="15"/>
    </row>
    <row r="4" spans="1:7" x14ac:dyDescent="0.15">
      <c r="A4" s="6"/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14" t="s">
        <v>26</v>
      </c>
    </row>
    <row r="5" spans="1:7" x14ac:dyDescent="0.15">
      <c r="A5" s="10" t="s">
        <v>27</v>
      </c>
      <c r="B5" s="11">
        <f>'Basic Pay'!B5</f>
        <v>5001</v>
      </c>
      <c r="C5" s="11" t="str">
        <f>'Basic Pay'!C5</f>
        <v>Sandy</v>
      </c>
      <c r="D5" s="12">
        <f>'Basic Pay'!D5</f>
        <v>4500</v>
      </c>
      <c r="E5" s="12">
        <f>DA!D5</f>
        <v>540</v>
      </c>
      <c r="F5" s="13">
        <f>HRA!D5</f>
        <v>2520</v>
      </c>
      <c r="G5" s="16">
        <f>SUM(D5:F5)</f>
        <v>7560</v>
      </c>
    </row>
    <row r="6" spans="1:7" x14ac:dyDescent="0.15">
      <c r="B6" s="11">
        <f>'Basic Pay'!B6</f>
        <v>5003</v>
      </c>
      <c r="C6" s="11" t="str">
        <f>'Basic Pay'!C6</f>
        <v>Sam</v>
      </c>
      <c r="D6" s="12">
        <f>'Basic Pay'!D6</f>
        <v>2500</v>
      </c>
      <c r="E6" s="12">
        <f>DA!D6</f>
        <v>300</v>
      </c>
      <c r="F6" s="13">
        <f>HRA!D6</f>
        <v>1400</v>
      </c>
      <c r="G6" s="16">
        <f t="shared" ref="G6:G14" si="0">SUM(D6:F6)</f>
        <v>4200</v>
      </c>
    </row>
    <row r="7" spans="1:7" x14ac:dyDescent="0.15">
      <c r="B7" s="11">
        <f>'Basic Pay'!B7</f>
        <v>5098</v>
      </c>
      <c r="C7" s="11" t="str">
        <f>'Basic Pay'!C7</f>
        <v>Peter</v>
      </c>
      <c r="D7" s="12">
        <f>'Basic Pay'!D7</f>
        <v>4500</v>
      </c>
      <c r="E7" s="12">
        <f>DA!D7</f>
        <v>540</v>
      </c>
      <c r="F7" s="13">
        <f>HRA!D7</f>
        <v>2520</v>
      </c>
      <c r="G7" s="16">
        <f t="shared" si="0"/>
        <v>7560</v>
      </c>
    </row>
    <row r="8" spans="1:7" x14ac:dyDescent="0.15">
      <c r="B8" s="11">
        <f>'Basic Pay'!B8</f>
        <v>5689</v>
      </c>
      <c r="C8" s="11" t="str">
        <f>'Basic Pay'!C8</f>
        <v>Bobby</v>
      </c>
      <c r="D8" s="12">
        <f>'Basic Pay'!D8</f>
        <v>3200</v>
      </c>
      <c r="E8" s="12">
        <f>DA!D8</f>
        <v>384</v>
      </c>
      <c r="F8" s="13">
        <f>HRA!D8</f>
        <v>1792</v>
      </c>
      <c r="G8" s="16">
        <f t="shared" si="0"/>
        <v>5376</v>
      </c>
    </row>
    <row r="9" spans="1:7" x14ac:dyDescent="0.15">
      <c r="B9" s="11">
        <f>'Basic Pay'!B9</f>
        <v>5764</v>
      </c>
      <c r="C9" s="11" t="str">
        <f>'Basic Pay'!C9</f>
        <v>John</v>
      </c>
      <c r="D9" s="12">
        <f>'Basic Pay'!D9</f>
        <v>1223</v>
      </c>
      <c r="E9" s="12">
        <f>DA!D9</f>
        <v>146.76</v>
      </c>
      <c r="F9" s="13">
        <f>HRA!D9</f>
        <v>684.88</v>
      </c>
      <c r="G9" s="16">
        <f t="shared" si="0"/>
        <v>2054.64</v>
      </c>
    </row>
    <row r="10" spans="1:7" x14ac:dyDescent="0.15">
      <c r="B10" s="11">
        <f>'Basic Pay'!B10</f>
        <v>5091</v>
      </c>
      <c r="C10" s="11" t="str">
        <f>'Basic Pay'!C10</f>
        <v>Rita</v>
      </c>
      <c r="D10" s="12">
        <f>'Basic Pay'!D10</f>
        <v>7890</v>
      </c>
      <c r="E10" s="12">
        <f>DA!D10</f>
        <v>946.8</v>
      </c>
      <c r="F10" s="13">
        <f>HRA!D10</f>
        <v>4418.3999999999996</v>
      </c>
      <c r="G10" s="16">
        <f t="shared" si="0"/>
        <v>13255.199999999999</v>
      </c>
    </row>
    <row r="11" spans="1:7" x14ac:dyDescent="0.15">
      <c r="B11" s="11">
        <f>'Basic Pay'!B11</f>
        <v>5673</v>
      </c>
      <c r="C11" s="11" t="str">
        <f>'Basic Pay'!C11</f>
        <v>Rozy</v>
      </c>
      <c r="D11" s="12">
        <f>'Basic Pay'!D11</f>
        <v>6500</v>
      </c>
      <c r="E11" s="12">
        <f>DA!D11</f>
        <v>780</v>
      </c>
      <c r="F11" s="13">
        <f>HRA!D11</f>
        <v>3640</v>
      </c>
      <c r="G11" s="16">
        <f t="shared" si="0"/>
        <v>10920</v>
      </c>
    </row>
    <row r="12" spans="1:7" x14ac:dyDescent="0.15">
      <c r="B12" s="11">
        <f>'Basic Pay'!B12</f>
        <v>5901</v>
      </c>
      <c r="C12" s="11" t="str">
        <f>'Basic Pay'!C12</f>
        <v>Rozita</v>
      </c>
      <c r="D12" s="12">
        <f>'Basic Pay'!D12</f>
        <v>5479</v>
      </c>
      <c r="E12" s="12">
        <f>DA!D12</f>
        <v>657.48</v>
      </c>
      <c r="F12" s="13">
        <f>HRA!D12</f>
        <v>3068.24</v>
      </c>
      <c r="G12" s="16">
        <f t="shared" si="0"/>
        <v>9204.7199999999993</v>
      </c>
    </row>
    <row r="13" spans="1:7" x14ac:dyDescent="0.15">
      <c r="B13" s="11">
        <f>'Basic Pay'!B13</f>
        <v>5764</v>
      </c>
      <c r="C13" s="11" t="str">
        <f>'Basic Pay'!C13</f>
        <v>Andre</v>
      </c>
      <c r="D13" s="12">
        <f>'Basic Pay'!D13</f>
        <v>3456</v>
      </c>
      <c r="E13" s="12">
        <f>DA!D13</f>
        <v>414.71999999999997</v>
      </c>
      <c r="F13" s="13">
        <f>HRA!D13</f>
        <v>1935.36</v>
      </c>
      <c r="G13" s="16">
        <f t="shared" si="0"/>
        <v>5806.08</v>
      </c>
    </row>
    <row r="14" spans="1:7" x14ac:dyDescent="0.15">
      <c r="B14" s="11">
        <f>'Basic Pay'!B14</f>
        <v>5555</v>
      </c>
      <c r="C14" s="11" t="str">
        <f>'Basic Pay'!C14</f>
        <v>Rocher</v>
      </c>
      <c r="D14" s="12">
        <f>'Basic Pay'!D14</f>
        <v>1200</v>
      </c>
      <c r="E14" s="12">
        <f>DA!D14</f>
        <v>144</v>
      </c>
      <c r="F14" s="13">
        <f>HRA!D14</f>
        <v>672</v>
      </c>
      <c r="G14" s="16">
        <f t="shared" si="0"/>
        <v>2016</v>
      </c>
    </row>
    <row r="15" spans="1:7" x14ac:dyDescent="0.15">
      <c r="B15" s="10"/>
    </row>
    <row r="16" spans="1:7" x14ac:dyDescent="0.15">
      <c r="B16" s="10"/>
    </row>
    <row r="17" spans="2:2" x14ac:dyDescent="0.15">
      <c r="B17" s="10"/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 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workspandan18@gmail.com</cp:lastModifiedBy>
  <dcterms:created xsi:type="dcterms:W3CDTF">2007-12-11T14:17:32Z</dcterms:created>
  <dcterms:modified xsi:type="dcterms:W3CDTF">2026-10-02T16:04:40Z</dcterms:modified>
</cp:coreProperties>
</file>