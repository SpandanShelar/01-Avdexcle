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23"/>
  <workbookPr defaultThemeVersion="123820"/>
  <mc:AlternateContent xmlns:mc="http://schemas.openxmlformats.org/markup-compatibility/2006">
    <mc:Choice Requires="x15">
      <x15ac:absPath xmlns:x15ac="http://schemas.microsoft.com/office/spreadsheetml/2010/11/ac" url="/Users/spandanshelar/Documents/01-excle/06.Look up Functions and Data Validation/"/>
    </mc:Choice>
  </mc:AlternateContent>
  <xr:revisionPtr revIDLastSave="0" documentId="8_{289FBBAC-1F29-1B40-ACAF-34B2B5A4CE75}" xr6:coauthVersionLast="47" xr6:coauthVersionMax="47" xr10:uidLastSave="{00000000-0000-0000-0000-000000000000}"/>
  <bookViews>
    <workbookView xWindow="0" yWindow="0" windowWidth="25600" windowHeight="16000" xr2:uid="{00000000-000D-0000-FFFF-FFFF00000000}"/>
  </bookViews>
  <sheets>
    <sheet name="Sheet1" sheetId="1" r:id="rId1"/>
    <sheet name="Sheet2" sheetId="2" r:id="rId2"/>
    <sheet name="Sheet3" sheetId="3" r:id="rId3"/>
  </sheets>
  <calcPr calcId="191029"/>
  <webPublishing codePage="1252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9" i="1" l="1"/>
  <c r="E19" i="1"/>
</calcChain>
</file>

<file path=xl/sharedStrings.xml><?xml version="1.0" encoding="utf-8"?>
<sst xmlns="http://schemas.openxmlformats.org/spreadsheetml/2006/main" count="9" uniqueCount="8">
  <si>
    <t>Table of Part Numbers</t>
  </si>
  <si>
    <t>Model No:</t>
  </si>
  <si>
    <t>Year Number:</t>
  </si>
  <si>
    <t>Enter the Model Year:</t>
  </si>
  <si>
    <t>Enter the Model No:</t>
  </si>
  <si>
    <t>Part No:</t>
  </si>
  <si>
    <t>(ByHLOOKUP)</t>
  </si>
  <si>
    <t>ByVlookUp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</si>
</sst>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1"/>
      <color rgb="FF9C6500"/>
      <name val="Calibri"/>
      <family val="2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249977111117893"/>
        <bgColor indexed="65"/>
      </patternFill>
    </fill>
    <fill>
      <patternFill patternType="solid">
        <fgColor theme="1"/>
      </patternFill>
    </fill>
    <fill>
      <patternFill patternType="solid">
        <fgColor rgb="FFF2F2F2"/>
      </patternFill>
    </fill>
    <fill>
      <patternFill patternType="solid">
        <fgColor rgb="FFFFEB9C"/>
      </patternFill>
    </fill>
  </fills>
  <borders count="6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4" borderId="2" applyNumberFormat="0" applyAlignment="0" applyProtection="0"/>
    <xf numFmtId="0" fontId="3" fillId="5" borderId="0" applyNumberFormat="0" applyBorder="0" applyAlignment="0" applyProtection="0"/>
  </cellStyleXfs>
  <cellXfs count="14">
    <xf numFmtId="0" fontId="0" fillId="0" borderId="0" xfId="0"/>
    <xf numFmtId="0" fontId="1" fillId="0" borderId="0" xfId="0" applyFont="1"/>
    <xf numFmtId="0" fontId="2" fillId="4" borderId="2" xfId="1" applyAlignment="1">
      <alignment horizontal="right"/>
    </xf>
    <xf numFmtId="0" fontId="2" fillId="4" borderId="2" xfId="1"/>
    <xf numFmtId="0" fontId="3" fillId="5" borderId="1" xfId="2" applyBorder="1"/>
    <xf numFmtId="0" fontId="0" fillId="3" borderId="3" xfId="0" applyFill="1" applyBorder="1"/>
    <xf numFmtId="0" fontId="0" fillId="2" borderId="3" xfId="0" applyFill="1" applyBorder="1"/>
    <xf numFmtId="0" fontId="0" fillId="2" borderId="3" xfId="0" applyFill="1" applyBorder="1" applyAlignment="1">
      <alignment horizontal="center"/>
    </xf>
    <xf numFmtId="0" fontId="0" fillId="0" borderId="3" xfId="0" applyBorder="1"/>
    <xf numFmtId="0" fontId="3" fillId="5" borderId="1" xfId="2" applyBorder="1" applyAlignment="1">
      <alignment horizontal="right"/>
    </xf>
    <xf numFmtId="0" fontId="4" fillId="0" borderId="0" xfId="0" applyFont="1" applyAlignment="1">
      <alignment horizontal="right"/>
    </xf>
    <xf numFmtId="0" fontId="4" fillId="0" borderId="0" xfId="0" applyFont="1"/>
    <xf numFmtId="0" fontId="4" fillId="0" borderId="5" xfId="0" applyFont="1" applyBorder="1"/>
    <xf numFmtId="0" fontId="4" fillId="0" borderId="4" xfId="0" applyFont="1" applyBorder="1"/>
  </cellXfs>
  <cellStyles count="3">
    <cellStyle name="Neutral" xfId="2" builtinId="28"/>
    <cellStyle name="Normal" xfId="0" builtinId="0"/>
    <cellStyle name="Output" xfId="1" builtinId="2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0"/>
  <sheetViews>
    <sheetView tabSelected="1" zoomScale="142" workbookViewId="0">
      <pane ySplit="3" topLeftCell="A4" activePane="bottomLeft" state="frozenSplit"/>
      <selection pane="bottomLeft" activeCell="K22" sqref="K22"/>
    </sheetView>
  </sheetViews>
  <sheetFormatPr baseColWidth="10" defaultColWidth="8.83203125" defaultRowHeight="15" x14ac:dyDescent="0.2"/>
  <cols>
    <col min="1" max="1" width="11" customWidth="1"/>
    <col min="2" max="2" width="7.83203125" customWidth="1"/>
    <col min="3" max="3" width="7.1640625" bestFit="1" customWidth="1"/>
    <col min="6" max="6" width="8.1640625" customWidth="1"/>
  </cols>
  <sheetData>
    <row r="1" spans="1:14" ht="21" x14ac:dyDescent="0.25">
      <c r="A1" s="1" t="s">
        <v>0</v>
      </c>
    </row>
    <row r="2" spans="1:14" x14ac:dyDescent="0.2">
      <c r="A2" s="5"/>
      <c r="B2" s="6" t="s">
        <v>2</v>
      </c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</row>
    <row r="3" spans="1:14" x14ac:dyDescent="0.2">
      <c r="A3" s="6" t="s">
        <v>1</v>
      </c>
      <c r="B3" s="7">
        <v>1995</v>
      </c>
      <c r="C3" s="7">
        <v>1996</v>
      </c>
      <c r="D3" s="7">
        <v>1997</v>
      </c>
      <c r="E3" s="7">
        <v>1998</v>
      </c>
      <c r="F3" s="7">
        <v>1999</v>
      </c>
      <c r="G3" s="7">
        <v>2000</v>
      </c>
      <c r="H3" s="7">
        <v>2001</v>
      </c>
      <c r="I3" s="7">
        <v>2002</v>
      </c>
      <c r="J3" s="7">
        <v>2003</v>
      </c>
      <c r="K3" s="7">
        <v>2004</v>
      </c>
      <c r="L3" s="7">
        <v>2005</v>
      </c>
      <c r="M3" s="7">
        <v>2006</v>
      </c>
      <c r="N3" s="7">
        <v>2007</v>
      </c>
    </row>
    <row r="4" spans="1:14" x14ac:dyDescent="0.2">
      <c r="A4" s="7">
        <v>200</v>
      </c>
      <c r="B4" s="8">
        <v>500952</v>
      </c>
      <c r="C4" s="8">
        <v>703618</v>
      </c>
      <c r="D4" s="8">
        <v>803594</v>
      </c>
      <c r="E4" s="8">
        <v>598406</v>
      </c>
      <c r="F4" s="8">
        <v>578619</v>
      </c>
      <c r="G4" s="8">
        <v>684264</v>
      </c>
      <c r="H4" s="8">
        <v>351502</v>
      </c>
      <c r="I4" s="8">
        <v>589801</v>
      </c>
      <c r="J4" s="8">
        <v>912220</v>
      </c>
      <c r="K4" s="8">
        <v>465504</v>
      </c>
      <c r="L4" s="8">
        <v>639486</v>
      </c>
      <c r="M4" s="8">
        <v>456098</v>
      </c>
      <c r="N4" s="8">
        <v>798725</v>
      </c>
    </row>
    <row r="5" spans="1:14" x14ac:dyDescent="0.2">
      <c r="A5" s="7">
        <v>250</v>
      </c>
      <c r="B5" s="8">
        <v>188089</v>
      </c>
      <c r="C5" s="8">
        <v>428266</v>
      </c>
      <c r="D5" s="8">
        <v>340855</v>
      </c>
      <c r="E5" s="8">
        <v>258849</v>
      </c>
      <c r="F5" s="8">
        <v>507255</v>
      </c>
      <c r="G5" s="8">
        <v>474400</v>
      </c>
      <c r="H5" s="8">
        <v>537658</v>
      </c>
      <c r="I5" s="8">
        <v>244113</v>
      </c>
      <c r="J5" s="8">
        <v>559635</v>
      </c>
      <c r="K5" s="8">
        <v>931791</v>
      </c>
      <c r="L5" s="8">
        <v>813246</v>
      </c>
      <c r="M5" s="8">
        <v>454823</v>
      </c>
      <c r="N5" s="8">
        <v>131535</v>
      </c>
    </row>
    <row r="6" spans="1:14" x14ac:dyDescent="0.2">
      <c r="A6" s="7">
        <v>330</v>
      </c>
      <c r="B6" s="8">
        <v>430316</v>
      </c>
      <c r="C6" s="8">
        <v>200056</v>
      </c>
      <c r="D6" s="8">
        <v>360370</v>
      </c>
      <c r="E6" s="8">
        <v>737446</v>
      </c>
      <c r="F6" s="8">
        <v>972319</v>
      </c>
      <c r="G6" s="8">
        <v>115078</v>
      </c>
      <c r="H6" s="8">
        <v>322316</v>
      </c>
      <c r="I6" s="8">
        <v>405832</v>
      </c>
      <c r="J6" s="8">
        <v>746442</v>
      </c>
      <c r="K6" s="8">
        <v>319412</v>
      </c>
      <c r="L6" s="8">
        <v>534043</v>
      </c>
      <c r="M6" s="8">
        <v>611033</v>
      </c>
      <c r="N6" s="8">
        <v>143093</v>
      </c>
    </row>
    <row r="7" spans="1:14" x14ac:dyDescent="0.2">
      <c r="A7" s="7">
        <v>340</v>
      </c>
      <c r="B7" s="8">
        <v>450399</v>
      </c>
      <c r="C7" s="8">
        <v>522398</v>
      </c>
      <c r="D7" s="8">
        <v>86942</v>
      </c>
      <c r="E7" s="8">
        <v>147424</v>
      </c>
      <c r="F7" s="8">
        <v>679345</v>
      </c>
      <c r="G7" s="8">
        <v>412692</v>
      </c>
      <c r="H7" s="8">
        <v>50100</v>
      </c>
      <c r="I7" s="8">
        <v>195070</v>
      </c>
      <c r="J7" s="8">
        <v>341582</v>
      </c>
      <c r="K7" s="8">
        <v>634051</v>
      </c>
      <c r="L7" s="8">
        <v>539369</v>
      </c>
      <c r="M7" s="8">
        <v>981902</v>
      </c>
      <c r="N7" s="8">
        <v>531963</v>
      </c>
    </row>
    <row r="8" spans="1:14" x14ac:dyDescent="0.2">
      <c r="A8" s="7">
        <v>370</v>
      </c>
      <c r="B8" s="8">
        <v>946244</v>
      </c>
      <c r="C8" s="8">
        <v>460925</v>
      </c>
      <c r="D8" s="8">
        <v>288350</v>
      </c>
      <c r="E8" s="8">
        <v>194733</v>
      </c>
      <c r="F8" s="8">
        <v>987879</v>
      </c>
      <c r="G8" s="8">
        <v>101980</v>
      </c>
      <c r="H8" s="8">
        <v>745209</v>
      </c>
      <c r="I8" s="8">
        <v>563422</v>
      </c>
      <c r="J8" s="8">
        <v>596062</v>
      </c>
      <c r="K8" s="8">
        <v>190650</v>
      </c>
      <c r="L8" s="8">
        <v>440890</v>
      </c>
      <c r="M8" s="8">
        <v>652299</v>
      </c>
      <c r="N8" s="8">
        <v>724213</v>
      </c>
    </row>
    <row r="9" spans="1:14" x14ac:dyDescent="0.2">
      <c r="A9" s="7">
        <v>450</v>
      </c>
      <c r="B9" s="8">
        <v>739870</v>
      </c>
      <c r="C9" s="8">
        <v>747370</v>
      </c>
      <c r="D9" s="8">
        <v>799652</v>
      </c>
      <c r="E9" s="8">
        <v>752355</v>
      </c>
      <c r="F9" s="8">
        <v>514020</v>
      </c>
      <c r="G9" s="8">
        <v>168697</v>
      </c>
      <c r="H9" s="8">
        <v>376694</v>
      </c>
      <c r="I9" s="8">
        <v>121027</v>
      </c>
      <c r="J9" s="8">
        <v>321612</v>
      </c>
      <c r="K9" s="8">
        <v>991794</v>
      </c>
      <c r="L9" s="8">
        <v>266254</v>
      </c>
      <c r="M9" s="8">
        <v>820369</v>
      </c>
      <c r="N9" s="8">
        <v>398069</v>
      </c>
    </row>
    <row r="10" spans="1:14" x14ac:dyDescent="0.2">
      <c r="A10" s="7">
        <v>500</v>
      </c>
      <c r="B10" s="8">
        <v>626023</v>
      </c>
      <c r="C10" s="8">
        <v>237356</v>
      </c>
      <c r="D10" s="8">
        <v>156958</v>
      </c>
      <c r="E10" s="8">
        <v>194089</v>
      </c>
      <c r="F10" s="8">
        <v>601227</v>
      </c>
      <c r="G10" s="8">
        <v>559373</v>
      </c>
      <c r="H10" s="8">
        <v>277325</v>
      </c>
      <c r="I10" s="8">
        <v>898855</v>
      </c>
      <c r="J10" s="8">
        <v>709393</v>
      </c>
      <c r="K10" s="8">
        <v>138580</v>
      </c>
      <c r="L10" s="8">
        <v>878396</v>
      </c>
      <c r="M10" s="8">
        <v>343862</v>
      </c>
      <c r="N10" s="8">
        <v>627548</v>
      </c>
    </row>
    <row r="11" spans="1:14" x14ac:dyDescent="0.2">
      <c r="A11" s="7">
        <v>650</v>
      </c>
      <c r="B11" s="8">
        <v>937579</v>
      </c>
      <c r="C11" s="8">
        <v>907369</v>
      </c>
      <c r="D11" s="8">
        <v>363333</v>
      </c>
      <c r="E11" s="8">
        <v>701260</v>
      </c>
      <c r="F11" s="8">
        <v>582279</v>
      </c>
      <c r="G11" s="8">
        <v>312788</v>
      </c>
      <c r="H11" s="8">
        <v>536753</v>
      </c>
      <c r="I11" s="8">
        <v>858386</v>
      </c>
      <c r="J11" s="8">
        <v>358918</v>
      </c>
      <c r="K11" s="8">
        <v>660466</v>
      </c>
      <c r="L11" s="8">
        <v>222489</v>
      </c>
      <c r="M11" s="8">
        <v>810707</v>
      </c>
      <c r="N11" s="8">
        <v>245388</v>
      </c>
    </row>
    <row r="12" spans="1:14" x14ac:dyDescent="0.2">
      <c r="A12" s="7">
        <v>700</v>
      </c>
      <c r="B12" s="8">
        <v>326028</v>
      </c>
      <c r="C12" s="8">
        <v>723560</v>
      </c>
      <c r="D12" s="8">
        <v>398869</v>
      </c>
      <c r="E12" s="8">
        <v>540782</v>
      </c>
      <c r="F12" s="8">
        <v>462575</v>
      </c>
      <c r="G12" s="8">
        <v>293969</v>
      </c>
      <c r="H12" s="8">
        <v>568781</v>
      </c>
      <c r="I12" s="8">
        <v>358333</v>
      </c>
      <c r="J12" s="8">
        <v>378283</v>
      </c>
      <c r="K12" s="8">
        <v>243353</v>
      </c>
      <c r="L12" s="8">
        <v>393996</v>
      </c>
      <c r="M12" s="8">
        <v>686923</v>
      </c>
      <c r="N12" s="8">
        <v>932848</v>
      </c>
    </row>
    <row r="13" spans="1:14" x14ac:dyDescent="0.2">
      <c r="A13" s="7">
        <v>800</v>
      </c>
      <c r="B13" s="8">
        <v>238832</v>
      </c>
      <c r="C13" s="8">
        <v>777905</v>
      </c>
      <c r="D13" s="8">
        <v>665232</v>
      </c>
      <c r="E13" s="8">
        <v>970132</v>
      </c>
      <c r="F13" s="8">
        <v>891582</v>
      </c>
      <c r="G13" s="8">
        <v>533905</v>
      </c>
      <c r="H13" s="8">
        <v>454699</v>
      </c>
      <c r="I13" s="8">
        <v>211564</v>
      </c>
      <c r="J13" s="8">
        <v>662541</v>
      </c>
      <c r="K13" s="8">
        <v>278522</v>
      </c>
      <c r="L13" s="8">
        <v>339151</v>
      </c>
      <c r="M13" s="8">
        <v>296896</v>
      </c>
      <c r="N13" s="8">
        <v>270946</v>
      </c>
    </row>
    <row r="14" spans="1:14" x14ac:dyDescent="0.2">
      <c r="A14" s="7">
        <v>900</v>
      </c>
      <c r="B14" s="8">
        <v>483825</v>
      </c>
      <c r="C14" s="8">
        <v>565975</v>
      </c>
      <c r="D14" s="8">
        <v>895150</v>
      </c>
      <c r="E14" s="8">
        <v>384026</v>
      </c>
      <c r="F14" s="8">
        <v>380949</v>
      </c>
      <c r="G14" s="8">
        <v>223391</v>
      </c>
      <c r="H14" s="8">
        <v>386700</v>
      </c>
      <c r="I14" s="8">
        <v>397907</v>
      </c>
      <c r="J14" s="8">
        <v>828473</v>
      </c>
      <c r="K14" s="8">
        <v>684008</v>
      </c>
      <c r="L14" s="8">
        <v>554949</v>
      </c>
      <c r="M14" s="8">
        <v>468078</v>
      </c>
      <c r="N14" s="8">
        <v>829324</v>
      </c>
    </row>
    <row r="16" spans="1:14" x14ac:dyDescent="0.2">
      <c r="B16" s="9" t="s">
        <v>3</v>
      </c>
      <c r="C16" s="9"/>
      <c r="D16" s="9"/>
      <c r="E16" s="4">
        <v>1997</v>
      </c>
    </row>
    <row r="17" spans="2:8" x14ac:dyDescent="0.2">
      <c r="B17" s="9" t="s">
        <v>4</v>
      </c>
      <c r="C17" s="9"/>
      <c r="D17" s="9"/>
      <c r="E17" s="4">
        <v>450</v>
      </c>
    </row>
    <row r="19" spans="2:8" x14ac:dyDescent="0.2">
      <c r="D19" s="2" t="s">
        <v>5</v>
      </c>
      <c r="E19" s="3">
        <f>HLOOKUP(E16,B3:N14,MATCH(E17,A3:A14,0))</f>
        <v>799652</v>
      </c>
      <c r="G19" s="13" t="s">
        <v>5</v>
      </c>
      <c r="H19" s="12">
        <f>VLOOKUP(E17,A3:N14,MATCH(E16,A3:N3,0),FALSE)</f>
        <v>799652</v>
      </c>
    </row>
    <row r="20" spans="2:8" x14ac:dyDescent="0.2">
      <c r="D20" s="11" t="s">
        <v>6</v>
      </c>
      <c r="G20" s="10" t="s">
        <v>7</v>
      </c>
    </row>
  </sheetData>
  <mergeCells count="2">
    <mergeCell ref="B16:D16"/>
    <mergeCell ref="B17:D17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elementk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workspandan18@gmail.com</cp:lastModifiedBy>
  <dcterms:created xsi:type="dcterms:W3CDTF">2006-12-05T15:56:31Z</dcterms:created>
  <dcterms:modified xsi:type="dcterms:W3CDTF">2026-10-27T14:12:44Z</dcterms:modified>
</cp:coreProperties>
</file>