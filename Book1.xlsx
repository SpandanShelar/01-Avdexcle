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49C6709A-73C5-E746-BE00-351AD0996D50}" xr6:coauthVersionLast="47" xr6:coauthVersionMax="47" xr10:uidLastSave="{00000000-0000-0000-0000-000000000000}"/>
  <bookViews>
    <workbookView xWindow="0" yWindow="0" windowWidth="25600" windowHeight="16000" firstSheet="3" activeTab="12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  <sheet name="DUMMY DATASET" sheetId="6" r:id="rId6"/>
    <sheet name="SUM IF" sheetId="9" r:id="rId7"/>
    <sheet name="SUMIFS" sheetId="10" r:id="rId8"/>
    <sheet name="COUNTIF" sheetId="12" r:id="rId9"/>
    <sheet name="COUNTIFS" sheetId="13" r:id="rId10"/>
    <sheet name="AVERAGEIF" sheetId="14" r:id="rId11"/>
    <sheet name="AVERAGEIFS" sheetId="15" r:id="rId12"/>
    <sheet name="LEFT() RIGTH() FIND()" sheetId="16" r:id="rId13"/>
    <sheet name="COUNT COUNTA COUNTBLANK" sheetId="11" r:id="rId14"/>
    <sheet name="Data Validation" sheetId="7" r:id="rId15"/>
    <sheet name="Sheet3" sheetId="8" r:id="rId16"/>
  </sheets>
  <definedNames>
    <definedName name="_xlnm._FilterDatabase" localSheetId="4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6" l="1"/>
  <c r="G4" i="16"/>
  <c r="G5" i="16"/>
  <c r="G6" i="16"/>
  <c r="G2" i="16"/>
  <c r="F3" i="16"/>
  <c r="F4" i="16"/>
  <c r="F5" i="16"/>
  <c r="F6" i="16"/>
  <c r="F2" i="16"/>
  <c r="E3" i="16"/>
  <c r="E4" i="16"/>
  <c r="E5" i="16"/>
  <c r="E6" i="16"/>
  <c r="E2" i="16"/>
  <c r="D3" i="16"/>
  <c r="D4" i="16"/>
  <c r="D5" i="16"/>
  <c r="D6" i="16"/>
  <c r="D2" i="16"/>
  <c r="C3" i="16"/>
  <c r="C4" i="16"/>
  <c r="C5" i="16"/>
  <c r="C6" i="16"/>
  <c r="C2" i="16"/>
  <c r="M22" i="15"/>
  <c r="M24" i="15"/>
  <c r="M26" i="15"/>
  <c r="M14" i="15"/>
  <c r="M12" i="15"/>
  <c r="M10" i="15"/>
  <c r="M8" i="15"/>
  <c r="M6" i="15"/>
  <c r="M4" i="15"/>
  <c r="M2" i="15"/>
  <c r="M28" i="14"/>
  <c r="M26" i="14"/>
  <c r="M24" i="14"/>
  <c r="M22" i="14"/>
  <c r="M20" i="14"/>
  <c r="M18" i="14"/>
  <c r="M16" i="14"/>
  <c r="M14" i="14"/>
  <c r="M12" i="14"/>
  <c r="M10" i="14"/>
  <c r="M8" i="14"/>
  <c r="M6" i="14"/>
  <c r="M4" i="14"/>
  <c r="M2" i="14"/>
  <c r="M16" i="13"/>
  <c r="M26" i="13"/>
  <c r="M24" i="13"/>
  <c r="M22" i="13"/>
  <c r="M20" i="13"/>
  <c r="M18" i="13"/>
  <c r="M14" i="13"/>
  <c r="M12" i="13"/>
  <c r="M10" i="13"/>
  <c r="M8" i="13"/>
  <c r="M6" i="13"/>
  <c r="Q4" i="13"/>
  <c r="Q2" i="13"/>
  <c r="N28" i="12"/>
  <c r="N26" i="12"/>
  <c r="N24" i="12"/>
  <c r="N22" i="12"/>
  <c r="N20" i="12"/>
  <c r="N18" i="12"/>
  <c r="N16" i="12"/>
  <c r="N14" i="12"/>
  <c r="N12" i="12"/>
  <c r="N10" i="12"/>
  <c r="N8" i="12"/>
  <c r="N6" i="12"/>
  <c r="N4" i="12"/>
  <c r="N2" i="12"/>
  <c r="M24" i="10"/>
  <c r="M22" i="10"/>
  <c r="F6" i="11"/>
  <c r="F4" i="11"/>
  <c r="F2" i="11"/>
  <c r="M20" i="10"/>
  <c r="M18" i="10"/>
  <c r="M16" i="10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L27" i="5" l="1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<sst xmlns="http://schemas.openxmlformats.org/spreadsheetml/2006/main" count="1823" uniqueCount="423">
  <si>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</si>
  <si>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</si>
  <si>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</si>
  <si>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</si>
  <si>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</si>
  <si>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</si>
  <si>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</si>
  <si>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</si>
  <si>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</si>
  <si>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</si>
  <si>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</si>
  <si>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</si>
  <si>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</si>
  <si>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</si>
  <si>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</si>
  <si>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</si>
  <si>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</si>
  <si>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</si>
  <si>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</si>
  <si>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</si>
  <si>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</si>
  <si>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</si>
  <si>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</si>
  <si>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</si>
  <si>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</si>
  <si>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</si>
  <si>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</si>
  <si>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</si>
  <si>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</si>
  <si>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</si>
  <si>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</si>
  <si>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</si>
  <si>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</si>
  <si>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</si>
  <si>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</si>
  <si>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</si>
  <si>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</si>
  <si>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</si>
  <si>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</si>
  <si>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</si>
  <si>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</si>
  <si>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</si>
  <si>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</si>
  <si>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</si>
  <si>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</si>
  <si>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</si>
  <si>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</si>
  <si>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</si>
  <si>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</si>
  <si>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</si>
  <si>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</si>
  <si>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</si>
  <si>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</si>
  <si>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</si>
  <si>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</si>
  <si>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</si>
  <si>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</si>
  <si>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</si>
  <si>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</si>
  <si>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</si>
  <si>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</si>
  <si>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</si>
  <si>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</si>
  <si>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</si>
  <si>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</si>
  <si>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</si>
  <si>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</si>
  <si>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</si>
  <si>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</si>
  <si>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</si>
  <si>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</si>
  <si>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</si>
  <si>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</si>
  <si>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</si>
  <si>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</si>
  <si>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</si>
  <si>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</si>
  <si>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</si>
  <si>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</si>
  <si>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</si>
  <si>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</si>
  <si>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</si>
  <si>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</si>
  <si>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</si>
  <si>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</si>
  <si>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</si>
  <si>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</si>
  <si>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</si>
  <si>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</si>
  <si>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</si>
  <si>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</si>
  <si>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</si>
  <si>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</si>
  <si>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</si>
  <si>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</si>
  <si>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</si>
  <si>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</si>
  <si>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</si>
  <si>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</si>
  <si>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</si>
  <si>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</si>
  <si>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</si>
  <si>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</si>
  <si>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</si>
  <si>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</si>
  <si>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</si>
  <si>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</si>
  <si>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</si>
  <si>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</si>
  <si>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</si>
  <si>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</si>
  <si>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</si>
  <si>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</si>
  <si>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</si>
  <si>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</si>
  <si>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</si>
  <si>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</si>
  <si>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</si>
  <si>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</si>
  <si>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</si>
  <si>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</si>
  <si>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</si>
  <si>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</si>
  <si>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</si>
  <si>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</si>
  <si>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</si>
  <si>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</si>
  <si>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</si>
  <si>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</si>
  <si>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</si>
  <si>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</si>
  <si>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</si>
  <si>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</si>
  <si>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</si>
  <si>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</si>
  <si>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</si>
  <si>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</si>
  <si>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</si>
  <si>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</si>
  <si>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</si>
  <si>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</si>
  <si>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</si>
  <si>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</si>
  <si>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</si>
  <si>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</si>
  <si>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</si>
  <si>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</si>
  <si>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</si>
  <si>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</si>
  <si>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</si>
  <si>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</si>
  <si>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</si>
  <si>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</si>
  <si>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</si>
  <si>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</si>
  <si>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</si>
  <si>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</si>
  <si>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</si>
  <si>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</si>
  <si>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</si>
  <si>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</si>
  <si>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</si>
  <si>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</si>
  <si>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</si>
  <si>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</si>
  <si>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</si>
  <si>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</si>
  <si>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</si>
  <si>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</si>
  <si>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</si>
  <si>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</si>
  <si>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</si>
  <si>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</si>
  <si>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</si>
  <si>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</si>
  <si>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</si>
  <si>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</si>
  <si>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</si>
  <si>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</si>
  <si>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</si>
  <si>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</si>
  <si>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</si>
  <si>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</si>
  <si>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</si>
  <si>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</si>
  <si>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</si>
  <si>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</si>
  <si>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</si>
  <si>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</si>
  <si>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</si>
  <si>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</si>
  <si>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</si>
  <si>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</si>
  <si>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</si>
  <si>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</si>
  <si>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</si>
  <si>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</si>
  <si>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</si>
  <si>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</si>
  <si>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</si>
  <si>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</si>
  <si>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</si>
  <si>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</si>
  <si>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</si>
  <si>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</si>
  <si>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</si>
  <si>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</si>
  <si>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</si>
  <si>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</si>
  <si>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</si>
  <si>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</si>
  <si>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</si>
  <si>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</si>
  <si>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</si>
  <si>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</si>
  <si>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</si>
  <si>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</si>
  <si>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</si>
  <si>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</si>
  <si>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</si>
  <si>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</si>
  <si>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</si>
  <si>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</si>
  <si>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</si>
  <si>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</si>
  <si>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</si>
  <si>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</si>
  <si>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</si>
  <si>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</si>
  <si>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</si>
  <si>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</si>
  <si>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</si>
  <si>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</si>
  <si>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</si>
  <si>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</si>
  <si>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</si>
  <si>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</si>
  <si>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</si>
  <si>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</si>
  <si>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</si>
  <si>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</si>
  <si>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</si>
  <si>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</si>
  <si>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</si>
  <si>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</si>
  <si>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</si>
  <si>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</si>
  <si>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</si>
  <si>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</si>
  <si>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</si>
  <si>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</si>
  <si>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</si>
  <si>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</si>
  <si>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</si>
  <si>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</si>
  <si>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</si>
  <si>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</si>
  <si>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</si>
  <si>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</si>
  <si>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</si>
  <si>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</si>
  <si>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</si>
  <si>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</si>
  <si>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</si>
  <si>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</si>
  <si>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</si>
  <si>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</si>
  <si>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</si>
  <si>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</si>
  <si>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</si>
  <si>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</si>
  <si>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</si>
  <si>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</si>
  <si>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</si>
  <si>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</si>
  <si>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</si>
  <si>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</si>
  <si>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</si>
  <si>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</si>
  <si>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</si>
  <si>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</si>
  <si>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</si>
  <si>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</si>
  <si>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</si>
  <si>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</si>
  <si>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</si>
  <si>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</si>
  <si>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</si>
  <si>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</si>
  <si>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</si>
  <si>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</si>
  <si>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</si>
  <si>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</si>
  <si>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</si>
  <si>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</si>
  <si>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</si>
  <si>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</si>
  <si>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</si>
  <si>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</si>
  <si>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</si>
  <si>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</si>
  <si>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</si>
  <si>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</si>
  <si>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</si>
  <si>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</si>
  <si>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</si>
  <si>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</si>
  <si>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</si>
  <si>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</si>
  <si>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</si>
  <si>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</si>
  <si>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</si>
  <si>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</si>
  <si>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</si>
  <si>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</si>
  <si>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</si>
  <si>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</si>
  <si>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</si>
  <si>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</si>
  <si>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</si>
  <si>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</si>
  <si>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</si>
  <si>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</si>
  <si>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</si>
  <si>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</si>
  <si>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</si>
  <si>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</si>
  <si>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</si>
  <si>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</si>
  <si>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</si>
  <si>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</si>
  <si>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</si>
  <si>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</si>
  <si>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</si>
  <si>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</si>
  <si>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</si>
  <si>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</si>
  <si>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</si>
  <si>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</si>
  <si>
    <t>Name</t>
  </si>
  <si>
    <t>Score</t>
  </si>
  <si>
    <t>Alice</t>
  </si>
  <si>
    <t>Pass</t>
  </si>
  <si>
    <t>Bob</t>
  </si>
  <si>
    <t>Charlie</t>
  </si>
  <si>
    <t>Absent</t>
  </si>
  <si>
    <t>David</t>
  </si>
  <si>
    <t>Emma</t>
  </si>
  <si>
    <t>Frank</t>
  </si>
  <si>
    <t>N/A</t>
  </si>
  <si>
    <t>Fail</t>
  </si>
  <si>
    <t>Grace</t>
  </si>
  <si>
    <t>Henry</t>
  </si>
  <si>
    <t>Ivy</t>
  </si>
  <si>
    <t>Jack</t>
  </si>
  <si>
    <t xml:space="preserve">COUNT </t>
  </si>
  <si>
    <t>COUNTA</t>
  </si>
  <si>
    <t xml:space="preserve">COUNTBLANK </t>
  </si>
  <si>
    <t>Count Sales department employees</t>
  </si>
  <si>
    <t>Count employees with 2 leave days</t>
  </si>
  <si>
    <t>Count Actual Sales greater than 60000</t>
  </si>
  <si>
    <t>Count Bonus less than 5000</t>
  </si>
  <si>
    <t>Count Salary &gt;=80000</t>
  </si>
  <si>
    <t>Count Leave Days &lt;= 2</t>
  </si>
  <si>
    <t>Count all except Finance</t>
  </si>
  <si>
    <t>Count Leave_Days based on value in O16</t>
  </si>
  <si>
    <t>Count Salary greater than O18</t>
  </si>
  <si>
    <t>Count names starting with A</t>
  </si>
  <si>
    <t>Count departments ending with "es"</t>
  </si>
  <si>
    <t>Count names containing "ra"</t>
  </si>
  <si>
    <t>Count Employee IDs E001–E009</t>
  </si>
  <si>
    <t>Count cells containing the literal text "Yes*</t>
  </si>
  <si>
    <t>Count employees in Sales department and West region</t>
  </si>
  <si>
    <t>Count IT employees with 2 leave days</t>
  </si>
  <si>
    <t>Count Sales employees whose Actual Sales are greater than 60000</t>
  </si>
  <si>
    <t>Count North region employees whose Bonus is less than 5000</t>
  </si>
  <si>
    <t>Count IT employees whose Salary is &gt;= 80000</t>
  </si>
  <si>
    <t>Count verified employees with Leave Days ≤ 2</t>
  </si>
  <si>
    <t>Count East region employees except Finance department</t>
  </si>
  <si>
    <t>Count employees based on Department (O16) and Region (P16)</t>
  </si>
  <si>
    <t>Count Sales employees whose names start with A</t>
  </si>
  <si>
    <t>Count West region employees whose Department ends with "es"</t>
  </si>
  <si>
    <t>Count West region employees whose names contain "ra"</t>
  </si>
  <si>
    <t>Count HR employees with Employee IDs E001–E009</t>
  </si>
  <si>
    <t>Count Sales employees whose Email Verified value is the literal text "Yes*”</t>
  </si>
  <si>
    <t>Average Actual Sales of Sales department employees</t>
  </si>
  <si>
    <t>Average Salary of employees with 2 leave days</t>
  </si>
  <si>
    <t>Average Bonus where Actual Sales are greater than 60000</t>
  </si>
  <si>
    <t>Average Salary where Bonus is less than 5000</t>
  </si>
  <si>
    <t>Average Actual Sales of employees whose Salary is ≥ 80000</t>
  </si>
  <si>
    <t>Average Bonus of employees with Leave Days ≤ 2</t>
  </si>
  <si>
    <t>Average Salary of all departments except Finance</t>
  </si>
  <si>
    <t>Average Actual Sales based on department in O16</t>
  </si>
  <si>
    <t>Average Actual Sales where Salary is greater than O18</t>
  </si>
  <si>
    <t>Average Actual Sales of employees whose names start with A</t>
  </si>
  <si>
    <t>Average Salary of departments ending with "es"</t>
  </si>
  <si>
    <t>Average Actual Sales of employees whose names contain "ra"</t>
  </si>
  <si>
    <t>Average Salary of Employee IDs E001–E009</t>
  </si>
  <si>
    <t>Average Actual Sales where Email Verified contains the literal text "Yes*"</t>
  </si>
  <si>
    <t>Average Actual Sales of Sales department employees in West region</t>
  </si>
  <si>
    <t>Average Salary of IT employees with 2 leave days</t>
  </si>
  <si>
    <t>Average Bonus of Sales employees whose Actual Sales are greater than 60000</t>
  </si>
  <si>
    <t>Average Salary of North region employees whose Bonus is less than 5000</t>
  </si>
  <si>
    <t>Average Actual Sales of IT employees whose Salary is ≥ 80000</t>
  </si>
  <si>
    <t>Average Bonus of verified employees with Leave Days ≤ 2</t>
  </si>
  <si>
    <t>Average Salary of East region employees except Finance department</t>
  </si>
  <si>
    <t>Average Actual Sales based on Department (O16) and Region (P16)</t>
  </si>
  <si>
    <t>Average Actual Sales of Sales employees whose names start with A</t>
  </si>
  <si>
    <t>Average Salary of West region employees whose Department ends with "es"</t>
  </si>
  <si>
    <t>Average Actual Sales of West region employees whose names contain "ra"</t>
  </si>
  <si>
    <t>Average Salary of HR employees with Employee IDs E001–E009</t>
  </si>
  <si>
    <t>Average Actual Sales of Sales employees whose Email Verified value is the literal text "Yes*"</t>
  </si>
  <si>
    <t>Sr No.</t>
  </si>
  <si>
    <t>Steven Roger-123212</t>
  </si>
  <si>
    <t>Natasha RomanOff-547689</t>
  </si>
  <si>
    <t>Tony Stark-347856</t>
  </si>
  <si>
    <t>Gamora-897645</t>
  </si>
  <si>
    <t>Clint Barten-452353</t>
  </si>
  <si>
    <t>LEFT</t>
  </si>
  <si>
    <t>RIGHT</t>
  </si>
  <si>
    <t>MID</t>
  </si>
  <si>
    <t>FIND</t>
  </si>
  <si>
    <t>"-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</si>
</sst>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P34"/>
  <sheetViews>
    <sheetView topLeftCell="E9" zoomScale="125" workbookViewId="0">
      <selection activeCell="M25" sqref="M25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6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6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  <c r="M18">
        <f>SUMIFS(H2:H21,C2:C21,"&lt;&gt;finance",D2:D21,"East")</f>
        <v>60000</v>
      </c>
    </row>
    <row r="19" spans="1:16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6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  <c r="M20">
        <f>SUMIFS(G2:G21,C2:C21,O20,D2:D21,P20)</f>
        <v>71000</v>
      </c>
      <c r="O20" t="s">
        <v>74</v>
      </c>
      <c r="P20" t="s">
        <v>83</v>
      </c>
    </row>
    <row r="21" spans="1:16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6" x14ac:dyDescent="0.2">
      <c r="L22" t="s">
        <v>332</v>
      </c>
      <c r="M22">
        <f>SUMIFS(G2:G21,G2:G21,"&gt;"&amp;O22,C2:C21,"Sales")</f>
        <v>86000</v>
      </c>
      <c r="O22">
        <v>85000</v>
      </c>
    </row>
    <row r="24" spans="1:16" x14ac:dyDescent="0.2">
      <c r="L24" t="s">
        <v>333</v>
      </c>
      <c r="M24">
        <f>SUMIFS(G2:G21,C2:C21,"Sales",B2:B21,"A*")</f>
        <v>226000</v>
      </c>
    </row>
    <row r="26" spans="1:16" x14ac:dyDescent="0.2">
      <c r="L26" t="s">
        <v>334</v>
      </c>
    </row>
    <row r="28" spans="1:16" x14ac:dyDescent="0.2">
      <c r="L28" t="s">
        <v>335</v>
      </c>
    </row>
    <row r="30" spans="1:16" x14ac:dyDescent="0.2">
      <c r="L30" t="s">
        <v>336</v>
      </c>
    </row>
    <row r="32" spans="1:16" x14ac:dyDescent="0.2">
      <c r="L32" t="s">
        <v>337</v>
      </c>
    </row>
    <row r="34" spans="12:12" x14ac:dyDescent="0.2">
      <c r="L34" t="s">
        <v>338</v>
      </c>
    </row>
  </sheetData>
  <dataValidations count="2">
    <dataValidation type="list" allowBlank="1" showInputMessage="1" showErrorMessage="1" sqref="O20" xr:uid="{28FDAD03-19D2-9247-A013-5A54A463834D}">
      <formula1>$C$2:$C$21</formula1>
    </dataValidation>
    <dataValidation type="list" allowBlank="1" showInputMessage="1" showErrorMessage="1" sqref="P20" xr:uid="{69399158-F8B4-7C4B-B70C-5BEC769D7C66}">
      <formula1>$D$2:$D$21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D86A-6571-0249-BB11-FB1ACE98010B}">
  <dimension ref="A1:O28"/>
  <sheetViews>
    <sheetView topLeftCell="A4" zoomScale="110" workbookViewId="0">
      <selection activeCell="N29" sqref="N29"/>
    </sheetView>
  </sheetViews>
  <sheetFormatPr baseColWidth="10" defaultRowHeight="16" x14ac:dyDescent="0.2"/>
  <cols>
    <col min="12" max="12" width="36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358</v>
      </c>
      <c r="N2">
        <f>COUNTIF(C2:C21,"sales")</f>
        <v>4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359</v>
      </c>
      <c r="N4">
        <f>COUNTIF(I2:I21,"2")</f>
        <v>5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360</v>
      </c>
      <c r="N6">
        <f>COUNTIF(F2:F21,"&gt;60000")</f>
        <v>6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361</v>
      </c>
      <c r="N8">
        <f>COUNTIF(H2:H21,"&lt;5000")</f>
        <v>10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362</v>
      </c>
      <c r="N10">
        <f>COUNTIF(G2:G21,"&gt;=80000")</f>
        <v>7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363</v>
      </c>
      <c r="N12">
        <f>COUNTIF(I2:I21,"&lt;=2")</f>
        <v>10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364</v>
      </c>
      <c r="N14">
        <f>COUNTIF(C2:C21,"&lt;&gt;finance")</f>
        <v>16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365</v>
      </c>
      <c r="N16">
        <f>COUNTIF(I2:I21,O16)</f>
        <v>5</v>
      </c>
      <c r="O16">
        <v>2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366</v>
      </c>
      <c r="N18">
        <f>COUNTIF(G2:G21,"&gt;"&amp;O18)</f>
        <v>3</v>
      </c>
      <c r="O18">
        <v>100000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367</v>
      </c>
      <c r="N20">
        <f>COUNTIF(B2:B21,"A*")</f>
        <v>4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368</v>
      </c>
      <c r="N22">
        <f>COUNTIF(C2:C21,"*es")</f>
        <v>4</v>
      </c>
    </row>
    <row r="24" spans="1:15" x14ac:dyDescent="0.2">
      <c r="L24" t="s">
        <v>369</v>
      </c>
      <c r="N24">
        <f>COUNTIF(B2:B21,"*ra*")</f>
        <v>7</v>
      </c>
    </row>
    <row r="26" spans="1:15" x14ac:dyDescent="0.2">
      <c r="L26" t="s">
        <v>370</v>
      </c>
      <c r="N26">
        <f>COUNTIF(A2:A21,"E00?")</f>
        <v>9</v>
      </c>
    </row>
    <row r="28" spans="1:15" x14ac:dyDescent="0.2">
      <c r="L28" t="s">
        <v>371</v>
      </c>
      <c r="N28">
        <f>COUNTIF(J2:J21,"YES~*")</f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B13F-CD15-6C4E-B472-D51F5DF8DBB2}">
  <dimension ref="A1:Q26"/>
  <sheetViews>
    <sheetView topLeftCell="G1" zoomScale="125" workbookViewId="0">
      <selection activeCell="O16" sqref="O16"/>
    </sheetView>
  </sheetViews>
  <sheetFormatPr baseColWidth="10" defaultRowHeight="16" x14ac:dyDescent="0.2"/>
  <cols>
    <col min="10" max="10" width="12.6640625" bestFit="1" customWidth="1"/>
    <col min="12" max="12" width="61.6640625" bestFit="1" customWidth="1"/>
  </cols>
  <sheetData>
    <row r="1" spans="1:17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7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372</v>
      </c>
      <c r="Q2">
        <f>COUNTIFS(C2:C21,"Sales",D2:D21,"West")</f>
        <v>2</v>
      </c>
    </row>
    <row r="3" spans="1:17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7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373</v>
      </c>
      <c r="Q4">
        <f>COUNTIFS(C2:C21,"IT",I2:I21,"2")</f>
        <v>2</v>
      </c>
    </row>
    <row r="5" spans="1:17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7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374</v>
      </c>
      <c r="M6">
        <f>COUNTIFS(C2:C21,"Sales",F2:F21,"&gt;60000")</f>
        <v>2</v>
      </c>
    </row>
    <row r="7" spans="1:17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7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375</v>
      </c>
      <c r="M8">
        <f>COUNTIFS(D2:D21,"North",H2:H21,"&lt;5000")</f>
        <v>4</v>
      </c>
    </row>
    <row r="9" spans="1:17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7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376</v>
      </c>
      <c r="M10">
        <f>COUNTIFS(C2:C21,"IT",G2:G21,"&gt;=80000")</f>
        <v>4</v>
      </c>
    </row>
    <row r="11" spans="1:17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7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377</v>
      </c>
      <c r="M12">
        <f>COUNTIFS(J2:J21,"Yes",I2:I21,"&lt;=2")</f>
        <v>8</v>
      </c>
    </row>
    <row r="13" spans="1:17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7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378</v>
      </c>
      <c r="M14">
        <f>COUNTIFS(D2:D21,"East",C2:C21,"&lt;&gt;finance")</f>
        <v>3</v>
      </c>
    </row>
    <row r="15" spans="1:17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7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379</v>
      </c>
      <c r="M16">
        <f>COUNTIFS(C2:C21,O16,D2:D21,P16)</f>
        <v>2</v>
      </c>
      <c r="O16" t="s">
        <v>74</v>
      </c>
      <c r="P16" t="s">
        <v>75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380</v>
      </c>
      <c r="M18">
        <f>COUNTIFS(C2:C21,"Sales",B2:B21,"A*")</f>
        <v>3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381</v>
      </c>
      <c r="M20">
        <f>COUNTIFS(D2:D21,"West",C2:C21,"*es")</f>
        <v>2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382</v>
      </c>
      <c r="M22">
        <f>COUNTIFS(D2:D21,"West",B2:B21,"*ra*")</f>
        <v>4</v>
      </c>
    </row>
    <row r="24" spans="1:13" x14ac:dyDescent="0.2">
      <c r="L24" t="s">
        <v>383</v>
      </c>
      <c r="M24">
        <f>COUNTIFS(C2:C21,"HR",A2:A21,"E00?")</f>
        <v>2</v>
      </c>
    </row>
    <row r="26" spans="1:13" x14ac:dyDescent="0.2">
      <c r="L26" t="s">
        <v>384</v>
      </c>
      <c r="M26">
        <f>COUNTIFS(C2:C21,"SALES",J2:J21,"YES~*")</f>
        <v>1</v>
      </c>
    </row>
  </sheetData>
  <dataValidations count="2">
    <dataValidation type="list" allowBlank="1" showInputMessage="1" showErrorMessage="1" sqref="O16" xr:uid="{04D0E870-30F1-8145-AFA8-45F160284A72}">
      <formula1>$C$2:$C$21</formula1>
    </dataValidation>
    <dataValidation type="list" allowBlank="1" showInputMessage="1" showErrorMessage="1" sqref="P16" xr:uid="{CCF5B7CE-B507-6E4F-BCD8-B670404D1035}">
      <formula1>$D$2:$D$21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3F7E-7A6F-C443-A5FE-93A2E18FC33C}">
  <dimension ref="A1:O28"/>
  <sheetViews>
    <sheetView topLeftCell="E6" zoomScale="135" workbookViewId="0">
      <selection activeCell="M29" sqref="M29"/>
    </sheetView>
  </sheetViews>
  <sheetFormatPr baseColWidth="10" defaultRowHeight="16" x14ac:dyDescent="0.2"/>
  <cols>
    <col min="10" max="10" width="12.6640625" bestFit="1" customWidth="1"/>
    <col min="12" max="12" width="60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385</v>
      </c>
      <c r="M2">
        <f>AVERAGEIF(C2:C21,"sALES",F2:F21)</f>
        <v>56750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386</v>
      </c>
      <c r="M4">
        <f>AVERAGEIF(I2:I21,"2")</f>
        <v>2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387</v>
      </c>
      <c r="M6">
        <f>AVERAGEIF(I2:I21,2,G2:G21)</f>
        <v>78000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388</v>
      </c>
      <c r="M8">
        <f>AVERAGEIF(H2:H21,"&lt;5000",G2:G21)</f>
        <v>60700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389</v>
      </c>
      <c r="M10">
        <f>AVERAGEIF(G2:G21,"&gt;=80000",F2:F21)</f>
        <v>75428.571428571435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390</v>
      </c>
      <c r="M12">
        <f>AVERAGEIF(I2:I21,"&lt;=2",H2:H21)</f>
        <v>14720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391</v>
      </c>
      <c r="M14">
        <f>AVERAGEIF(C2:C21,"&lt;&gt;FINANCE",G2:G21)</f>
        <v>79937.5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392</v>
      </c>
      <c r="M16">
        <f>AVERAGEIF(C2:C21,O16,F2:F21)</f>
        <v>56750</v>
      </c>
      <c r="O16" t="s">
        <v>66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393</v>
      </c>
      <c r="M18">
        <f>AVERAGEIF(G2:G21,"&gt;"&amp;O18,F2:F21)</f>
        <v>59333.333333333336</v>
      </c>
      <c r="O18">
        <v>60000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394</v>
      </c>
      <c r="M20">
        <f>AVERAGEIF(B2:B21,"A*",F2:F21)</f>
        <v>47000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395</v>
      </c>
      <c r="M22">
        <f>AVERAGEIF(C2:C21,"*es",G2:G21)</f>
        <v>78000</v>
      </c>
    </row>
    <row r="24" spans="1:15" x14ac:dyDescent="0.2">
      <c r="L24" t="s">
        <v>396</v>
      </c>
      <c r="M24">
        <f>AVERAGEIF(B2:B21,"*ra*",F2:F21)</f>
        <v>48571.428571428572</v>
      </c>
    </row>
    <row r="26" spans="1:15" x14ac:dyDescent="0.2">
      <c r="L26" t="s">
        <v>397</v>
      </c>
      <c r="M26">
        <f>AVERAGEIF(A2:A21,"E00?",G2:G21)</f>
        <v>73888.888888888891</v>
      </c>
    </row>
    <row r="28" spans="1:15" x14ac:dyDescent="0.2">
      <c r="L28" t="s">
        <v>398</v>
      </c>
      <c r="M28">
        <f>AVERAGEIF(J2:J21,"yes~*",F2:F21)</f>
        <v>61000</v>
      </c>
    </row>
  </sheetData>
  <dataValidations count="1">
    <dataValidation type="list" allowBlank="1" showInputMessage="1" showErrorMessage="1" sqref="O16" xr:uid="{344ACB30-EBDC-644E-9CBE-6FFB7447FDE0}">
      <formula1>$C$2:$C$21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6E91-DAD6-034D-900D-39D466FA2FA9}">
  <dimension ref="A1:M26"/>
  <sheetViews>
    <sheetView topLeftCell="G1" zoomScale="133" workbookViewId="0">
      <selection activeCell="M20" sqref="M20"/>
    </sheetView>
  </sheetViews>
  <sheetFormatPr baseColWidth="10" defaultRowHeight="16" x14ac:dyDescent="0.2"/>
  <cols>
    <col min="12" max="12" width="75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399</v>
      </c>
      <c r="M2">
        <f>AVERAGEIFS(F2:F21,D2:D21,"west",C2:C21,"sales")</f>
        <v>58500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400</v>
      </c>
      <c r="M4">
        <f>AVERAGEIFS(G2:G21,C2:C21,"IT",I2:I21,2)</f>
        <v>102000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401</v>
      </c>
      <c r="M6">
        <f>AVERAGEIFS(H2:H21,C2:C21,"SALES",F2:F21,"&gt;60000")</f>
        <v>11500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402</v>
      </c>
      <c r="M8">
        <f>AVERAGEIFS(G2:G21,D2:D21,"north",H2:H21,"&lt;5000")</f>
        <v>60750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403</v>
      </c>
      <c r="M10">
        <f>AVERAGEIFS(F2:F21,C2:C21,"IT",G2:G21,"&gt;=80000")</f>
        <v>88000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404</v>
      </c>
      <c r="M12">
        <f>AVERAGEIFS(H2:H21,J2:J21,"YES",I2:I21,"&lt;=2")</f>
        <v>14900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405</v>
      </c>
      <c r="M14">
        <f>AVERAGEIFS(G2:G21,D2:D21,"EAST",C2:C21,"&lt;&gt;FINANCE")</f>
        <v>105000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406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407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408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409</v>
      </c>
      <c r="M22">
        <f>AVERAGEIFS(F2:F21,D2:D21,"west",B2:B21,"*ra*")</f>
        <v>50000</v>
      </c>
    </row>
    <row r="24" spans="1:13" x14ac:dyDescent="0.2">
      <c r="L24" t="s">
        <v>410</v>
      </c>
      <c r="M24">
        <f>AVERAGEIFS(G2:G21,C2:C21,"HR",A2:A21,"E00?")</f>
        <v>59000</v>
      </c>
    </row>
    <row r="26" spans="1:13" x14ac:dyDescent="0.2">
      <c r="L26" t="s">
        <v>411</v>
      </c>
      <c r="M26">
        <f>AVERAGEIFS(F2:F21,C2:C21,"sales",J2:J21,"yes~*")</f>
        <v>62000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F78D-BB88-514A-AD9D-870E191FB7FC}">
  <dimension ref="A1:G6"/>
  <sheetViews>
    <sheetView tabSelected="1" zoomScale="187" workbookViewId="0">
      <selection activeCell="G2" sqref="G2:G6"/>
    </sheetView>
  </sheetViews>
  <sheetFormatPr baseColWidth="10" defaultRowHeight="16" x14ac:dyDescent="0.2"/>
  <cols>
    <col min="2" max="2" width="23.33203125" bestFit="1" customWidth="1"/>
    <col min="7" max="7" width="16.5" bestFit="1" customWidth="1"/>
  </cols>
  <sheetData>
    <row r="1" spans="1:7" x14ac:dyDescent="0.2">
      <c r="A1" t="s">
        <v>412</v>
      </c>
      <c r="B1" t="s">
        <v>339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</row>
    <row r="2" spans="1:7" x14ac:dyDescent="0.2">
      <c r="A2">
        <v>1</v>
      </c>
      <c r="B2" t="s">
        <v>413</v>
      </c>
      <c r="C2" t="str">
        <f>LEFT(B2,6)</f>
        <v>Steven</v>
      </c>
      <c r="D2" t="str">
        <f>RIGHT(B2,6)</f>
        <v>123212</v>
      </c>
      <c r="E2" t="str">
        <f>MID(B2,5,5)</f>
        <v>en Ro</v>
      </c>
      <c r="F2">
        <f>FIND("-",B2,1)</f>
        <v>13</v>
      </c>
      <c r="G2" t="str">
        <f>LEFT(B2,FIND("-",B2,1)-1)</f>
        <v>Steven Roger</v>
      </c>
    </row>
    <row r="3" spans="1:7" x14ac:dyDescent="0.2">
      <c r="A3">
        <v>2</v>
      </c>
      <c r="B3" t="s">
        <v>414</v>
      </c>
      <c r="C3" t="str">
        <f t="shared" ref="C3:C6" si="0">LEFT(B3,6)</f>
        <v>Natash</v>
      </c>
      <c r="D3" t="str">
        <f t="shared" ref="D3:D6" si="1">RIGHT(B3,6)</f>
        <v>547689</v>
      </c>
      <c r="E3" t="str">
        <f t="shared" ref="E3:E6" si="2">MID(B3,5,5)</f>
        <v>sha R</v>
      </c>
      <c r="F3">
        <f t="shared" ref="F3:F6" si="3">FIND("-",B3,1)</f>
        <v>17</v>
      </c>
      <c r="G3" t="str">
        <f t="shared" ref="G3:G6" si="4">LEFT(B3,FIND("-",B3,1)-1)</f>
        <v>Natasha RomanOff</v>
      </c>
    </row>
    <row r="4" spans="1:7" x14ac:dyDescent="0.2">
      <c r="A4">
        <v>3</v>
      </c>
      <c r="B4" t="s">
        <v>415</v>
      </c>
      <c r="C4" t="str">
        <f t="shared" si="0"/>
        <v>Tony S</v>
      </c>
      <c r="D4" t="str">
        <f t="shared" si="1"/>
        <v>347856</v>
      </c>
      <c r="E4" t="str">
        <f t="shared" si="2"/>
        <v xml:space="preserve"> Star</v>
      </c>
      <c r="F4">
        <f t="shared" si="3"/>
        <v>11</v>
      </c>
      <c r="G4" t="str">
        <f t="shared" si="4"/>
        <v>Tony Stark</v>
      </c>
    </row>
    <row r="5" spans="1:7" x14ac:dyDescent="0.2">
      <c r="A5">
        <v>4</v>
      </c>
      <c r="B5" t="s">
        <v>416</v>
      </c>
      <c r="C5" t="str">
        <f t="shared" si="0"/>
        <v>Gamora</v>
      </c>
      <c r="D5" t="str">
        <f t="shared" si="1"/>
        <v>897645</v>
      </c>
      <c r="E5" t="str">
        <f t="shared" si="2"/>
        <v>ra-89</v>
      </c>
      <c r="F5">
        <f t="shared" si="3"/>
        <v>7</v>
      </c>
      <c r="G5" t="str">
        <f t="shared" si="4"/>
        <v>Gamora</v>
      </c>
    </row>
    <row r="6" spans="1:7" x14ac:dyDescent="0.2">
      <c r="A6">
        <v>5</v>
      </c>
      <c r="B6" t="s">
        <v>417</v>
      </c>
      <c r="C6" t="str">
        <f t="shared" si="0"/>
        <v xml:space="preserve">Clint </v>
      </c>
      <c r="D6" t="str">
        <f t="shared" si="1"/>
        <v>452353</v>
      </c>
      <c r="E6" t="str">
        <f t="shared" si="2"/>
        <v>t Bar</v>
      </c>
      <c r="F6">
        <f t="shared" si="3"/>
        <v>13</v>
      </c>
      <c r="G6" t="str">
        <f t="shared" si="4"/>
        <v>Clint Barten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C260-25CB-3F4D-AB8A-0920F5374784}">
  <dimension ref="A1:F11"/>
  <sheetViews>
    <sheetView zoomScale="171" workbookViewId="0">
      <selection activeCell="F7" sqref="F7"/>
    </sheetView>
  </sheetViews>
  <sheetFormatPr baseColWidth="10" defaultRowHeight="16" x14ac:dyDescent="0.2"/>
  <cols>
    <col min="5" max="5" width="12.83203125" bestFit="1" customWidth="1"/>
  </cols>
  <sheetData>
    <row r="1" spans="1:6" x14ac:dyDescent="0.2">
      <c r="A1" t="s">
        <v>339</v>
      </c>
      <c r="B1" t="s">
        <v>340</v>
      </c>
      <c r="C1" t="s">
        <v>63</v>
      </c>
    </row>
    <row r="2" spans="1:6" x14ac:dyDescent="0.2">
      <c r="A2" t="s">
        <v>341</v>
      </c>
      <c r="B2">
        <v>85</v>
      </c>
      <c r="C2" t="s">
        <v>342</v>
      </c>
      <c r="E2" t="s">
        <v>355</v>
      </c>
      <c r="F2">
        <f>COUNT(A2:C11)</f>
        <v>7</v>
      </c>
    </row>
    <row r="3" spans="1:6" x14ac:dyDescent="0.2">
      <c r="A3" t="s">
        <v>343</v>
      </c>
      <c r="B3">
        <v>92</v>
      </c>
      <c r="C3" t="s">
        <v>342</v>
      </c>
    </row>
    <row r="4" spans="1:6" x14ac:dyDescent="0.2">
      <c r="A4" t="s">
        <v>344</v>
      </c>
      <c r="C4" t="s">
        <v>345</v>
      </c>
      <c r="E4" t="s">
        <v>356</v>
      </c>
      <c r="F4">
        <f>COUNTA(A2:C11)</f>
        <v>26</v>
      </c>
    </row>
    <row r="5" spans="1:6" x14ac:dyDescent="0.2">
      <c r="A5" t="s">
        <v>346</v>
      </c>
      <c r="B5">
        <v>78</v>
      </c>
    </row>
    <row r="6" spans="1:6" x14ac:dyDescent="0.2">
      <c r="A6" t="s">
        <v>347</v>
      </c>
      <c r="B6">
        <v>90</v>
      </c>
      <c r="C6" t="s">
        <v>342</v>
      </c>
      <c r="E6" t="s">
        <v>357</v>
      </c>
      <c r="F6">
        <f>COUNTBLANK(A2:C11)</f>
        <v>4</v>
      </c>
    </row>
    <row r="7" spans="1:6" x14ac:dyDescent="0.2">
      <c r="A7" t="s">
        <v>348</v>
      </c>
      <c r="B7" t="s">
        <v>349</v>
      </c>
      <c r="C7" t="s">
        <v>350</v>
      </c>
    </row>
    <row r="8" spans="1:6" x14ac:dyDescent="0.2">
      <c r="A8" t="s">
        <v>351</v>
      </c>
      <c r="C8" t="s">
        <v>342</v>
      </c>
    </row>
    <row r="9" spans="1:6" x14ac:dyDescent="0.2">
      <c r="A9" t="s">
        <v>352</v>
      </c>
      <c r="B9">
        <v>88</v>
      </c>
      <c r="C9" t="s">
        <v>342</v>
      </c>
    </row>
    <row r="10" spans="1:6" x14ac:dyDescent="0.2">
      <c r="A10" t="s">
        <v>353</v>
      </c>
      <c r="B10">
        <v>95</v>
      </c>
      <c r="C10" t="s">
        <v>71</v>
      </c>
    </row>
    <row r="11" spans="1:6" x14ac:dyDescent="0.2">
      <c r="A11" t="s">
        <v>354</v>
      </c>
      <c r="B11">
        <v>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L1" zoomScale="167" workbookViewId="0">
      <selection activeCell="E1" sqref="E1:E1048576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DAY 1</vt:lpstr>
      <vt:lpstr>DAY 2</vt:lpstr>
      <vt:lpstr>Day 2 condistional formating </vt:lpstr>
      <vt:lpstr>Day 3 condistional formating </vt:lpstr>
      <vt:lpstr>Sheet2</vt:lpstr>
      <vt:lpstr>DUMMY DATASET</vt:lpstr>
      <vt:lpstr>SUM IF</vt:lpstr>
      <vt:lpstr>SUMIFS</vt:lpstr>
      <vt:lpstr>COUNTIF</vt:lpstr>
      <vt:lpstr>COUNTIFS</vt:lpstr>
      <vt:lpstr>AVERAGEIF</vt:lpstr>
      <vt:lpstr>AVERAGEIFS</vt:lpstr>
      <vt:lpstr>LEFT() RIGTH() FIND()</vt:lpstr>
      <vt:lpstr>COUNT COUNTA COUNTBLANK</vt:lpstr>
      <vt:lpstr>Data Validation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2026-10-09T15:27:01Z</dcterms:modified>
</cp:coreProperties>
</file>