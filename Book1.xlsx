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pandanshelar/Documents/01-excle/"/>
    </mc:Choice>
  </mc:AlternateContent>
  <xr:revisionPtr revIDLastSave="0" documentId="13_ncr:1_{BFB2E1AF-A419-9540-B1A7-E408633C2AD5}" xr6:coauthVersionLast="47" xr6:coauthVersionMax="47" xr10:uidLastSave="{00000000-0000-0000-0000-000000000000}"/>
  <bookViews>
    <workbookView xWindow="0" yWindow="0" windowWidth="25600" windowHeight="16000" activeTab="4" xr2:uid="{A4290DCB-8409-744D-9DE6-DF882A268D57}"/>
  </bookViews>
  <sheets>
    <sheet name="DAY 1" sheetId="1" r:id="rId1"/>
    <sheet name="DAY 2" sheetId="2" r:id="rId2"/>
    <sheet name="Day 2 condistional formating " sheetId="3" r:id="rId3"/>
    <sheet name="Day 3 condistional formating " sheetId="4" r:id="rId4"/>
    <sheet name="Sheet2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" i="5" l="1" a="1"/>
  <c r="O4" i="2" a="1"/>
  <c r="O5" i="2" a="1"/>
  <c r="O6" i="2" a="1"/>
  <c r="O3" i="2" a="1"/>
  <c r="N4" i="2"/>
  <c r="N5" i="2"/>
  <c r="N6" i="2"/>
  <c r="N3" i="2"/>
  <c r="L6" i="2"/>
  <c r="K6" i="2"/>
  <c r="H6" i="2"/>
  <c r="G6" i="2"/>
  <c r="F6" i="2"/>
  <c r="E6" i="2"/>
  <c r="I6" i="2" s="1"/>
  <c r="L5" i="2"/>
  <c r="K5" i="2"/>
  <c r="H5" i="2"/>
  <c r="G5" i="2"/>
  <c r="F5" i="2"/>
  <c r="E5" i="2"/>
  <c r="I5" i="2" s="1"/>
  <c r="L4" i="2"/>
  <c r="K4" i="2"/>
  <c r="H4" i="2"/>
  <c r="G4" i="2"/>
  <c r="F4" i="2"/>
  <c r="E4" i="2"/>
  <c r="I4" i="2" s="1"/>
  <c r="L3" i="2"/>
  <c r="K3" i="2"/>
  <c r="H3" i="2"/>
  <c r="G3" i="2"/>
  <c r="F3" i="2"/>
  <c r="E3" i="2"/>
  <c r="I3" i="2" s="1"/>
  <c r="K28" i="1"/>
  <c r="K29" i="1"/>
  <c r="K30" i="1"/>
  <c r="K31" i="1"/>
  <c r="K32" i="1"/>
  <c r="K33" i="1"/>
  <c r="K34" i="1"/>
  <c r="K35" i="1"/>
  <c r="K36" i="1"/>
  <c r="K27" i="1"/>
  <c r="H28" i="1"/>
  <c r="H29" i="1"/>
  <c r="H30" i="1"/>
  <c r="H31" i="1"/>
  <c r="H32" i="1"/>
  <c r="H33" i="1"/>
  <c r="H34" i="1"/>
  <c r="H35" i="1"/>
  <c r="H36" i="1"/>
  <c r="H27" i="1"/>
  <c r="G28" i="1"/>
  <c r="G29" i="1"/>
  <c r="G30" i="1"/>
  <c r="G31" i="1"/>
  <c r="G32" i="1"/>
  <c r="G33" i="1"/>
  <c r="G34" i="1"/>
  <c r="G35" i="1"/>
  <c r="G36" i="1"/>
  <c r="G27" i="1"/>
  <c r="F28" i="1"/>
  <c r="F29" i="1"/>
  <c r="F30" i="1"/>
  <c r="F31" i="1"/>
  <c r="F32" i="1"/>
  <c r="F33" i="1"/>
  <c r="F34" i="1"/>
  <c r="F35" i="1"/>
  <c r="F36" i="1"/>
  <c r="F27" i="1"/>
  <c r="E28" i="1"/>
  <c r="I28" i="1" s="1"/>
  <c r="E29" i="1"/>
  <c r="I29" i="1" s="1"/>
  <c r="E30" i="1"/>
  <c r="I30" i="1" s="1"/>
  <c r="E31" i="1"/>
  <c r="I31" i="1" s="1"/>
  <c r="E32" i="1"/>
  <c r="I32" i="1" s="1"/>
  <c r="E33" i="1"/>
  <c r="I33" i="1" s="1"/>
  <c r="E34" i="1"/>
  <c r="I34" i="1" s="1"/>
  <c r="E35" i="1"/>
  <c r="I35" i="1" s="1"/>
  <c r="E36" i="1"/>
  <c r="I36" i="1" s="1"/>
  <c r="E27" i="1"/>
  <c r="I27" i="1" s="1"/>
  <c r="L18" i="1"/>
  <c r="L19" i="1"/>
  <c r="L20" i="1"/>
  <c r="L17" i="1"/>
  <c r="K18" i="1"/>
  <c r="K19" i="1"/>
  <c r="K20" i="1"/>
  <c r="K17" i="1"/>
  <c r="H18" i="1"/>
  <c r="H19" i="1"/>
  <c r="H20" i="1"/>
  <c r="G18" i="1"/>
  <c r="G19" i="1"/>
  <c r="G20" i="1"/>
  <c r="H17" i="1"/>
  <c r="G17" i="1"/>
  <c r="F18" i="1"/>
  <c r="F19" i="1"/>
  <c r="F20" i="1"/>
  <c r="F17" i="1"/>
  <c r="E18" i="1"/>
  <c r="I18" i="1" s="1"/>
  <c r="J18" i="1" s="1"/>
  <c r="E19" i="1"/>
  <c r="I19" i="1" s="1"/>
  <c r="J19" i="1" s="1"/>
  <c r="E20" i="1"/>
  <c r="I20" i="1" s="1"/>
  <c r="J20" i="1" s="1"/>
  <c r="E17" i="1"/>
  <c r="I17" i="1" s="1"/>
  <c r="J17" i="1" s="1"/>
  <c r="J6" i="2" l="1"/>
  <c r="M6" i="2"/>
  <c r="J5" i="2"/>
  <c r="M5" i="2"/>
  <c r="J4" i="2"/>
  <c r="M4" i="2"/>
  <c r="M3" i="2"/>
  <c r="J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<sst xmlns="http://schemas.openxmlformats.org/spreadsheetml/2006/main" count="672" uniqueCount="169">
  <si>
    <t>Monday</t>
  </si>
  <si>
    <t>Tuesday</t>
  </si>
  <si>
    <t>Wednesday</t>
  </si>
  <si>
    <t>Thursday</t>
  </si>
  <si>
    <t>Friday</t>
  </si>
  <si>
    <t>Saturday</t>
  </si>
  <si>
    <t>Sunday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</si>
  <si>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</si>
  <si>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</si>
  <si>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</si>
  <si>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</si>
  <si>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</si>
  <si>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</si>
  <si>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</si>
  <si>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</si>
  <si>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</si>
  <si>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</si>
  <si>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</si>
  <si>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</si>
  <si>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Name </t>
  </si>
  <si>
    <t>sci</t>
  </si>
  <si>
    <t>maths</t>
  </si>
  <si>
    <t>his</t>
  </si>
  <si>
    <t>total</t>
  </si>
  <si>
    <t>a</t>
  </si>
  <si>
    <t>b</t>
  </si>
  <si>
    <t>c</t>
  </si>
  <si>
    <t>d</t>
  </si>
  <si>
    <t>max</t>
  </si>
  <si>
    <t xml:space="preserve">min </t>
  </si>
  <si>
    <t>avg</t>
  </si>
  <si>
    <t xml:space="preserve">percentage </t>
  </si>
  <si>
    <t>Result</t>
  </si>
  <si>
    <t>Result Or</t>
  </si>
  <si>
    <t xml:space="preserve">Result AND </t>
  </si>
  <si>
    <t xml:space="preserve">result </t>
  </si>
  <si>
    <t xml:space="preserve">total </t>
  </si>
  <si>
    <t xml:space="preserve">avg </t>
  </si>
  <si>
    <t>result and</t>
  </si>
  <si>
    <t xml:space="preserve">if ,if AND , IF OR </t>
  </si>
  <si>
    <t>NESTED IF AND  IFS FUNCTIONS</t>
  </si>
  <si>
    <t>Result and Grade</t>
  </si>
  <si>
    <t>nested IFS</t>
  </si>
  <si>
    <t xml:space="preserve">Grade Nested IF </t>
  </si>
  <si>
    <t>Employee_ID</t>
  </si>
  <si>
    <t>Employee_Name</t>
  </si>
  <si>
    <t>Department</t>
  </si>
  <si>
    <t>Region</t>
  </si>
  <si>
    <t>Join_Date</t>
  </si>
  <si>
    <t>Last_Login</t>
  </si>
  <si>
    <t>Project_Deadline</t>
  </si>
  <si>
    <t>Sales_Target</t>
  </si>
  <si>
    <t>Actual_Sales</t>
  </si>
  <si>
    <t>Profit_Percent</t>
  </si>
  <si>
    <t>Attendance_Percent</t>
  </si>
  <si>
    <t>Tasks_Completed</t>
  </si>
  <si>
    <t>Total_Tasks</t>
  </si>
  <si>
    <t>Performance_Rating</t>
  </si>
  <si>
    <t>Salary</t>
  </si>
  <si>
    <t>Bonus</t>
  </si>
  <si>
    <t>Leave_Days</t>
  </si>
  <si>
    <t>Status</t>
  </si>
  <si>
    <t>Email_Verified</t>
  </si>
  <si>
    <t>Remarks</t>
  </si>
  <si>
    <t>E001</t>
  </si>
  <si>
    <t>Aarav Mehta</t>
  </si>
  <si>
    <t>Sales</t>
  </si>
  <si>
    <t>West</t>
  </si>
  <si>
    <t>1/15/2023</t>
  </si>
  <si>
    <t>Completed</t>
  </si>
  <si>
    <t>Yes</t>
  </si>
  <si>
    <t>Excellent</t>
  </si>
  <si>
    <t>E002</t>
  </si>
  <si>
    <t>Neha Sharma</t>
  </si>
  <si>
    <t>HR</t>
  </si>
  <si>
    <t>North</t>
  </si>
  <si>
    <t>5/28/2026</t>
  </si>
  <si>
    <t>Pending</t>
  </si>
  <si>
    <t>No</t>
  </si>
  <si>
    <t>Low Performance</t>
  </si>
  <si>
    <t>E003</t>
  </si>
  <si>
    <t>Rohan Iyer</t>
  </si>
  <si>
    <t>IT</t>
  </si>
  <si>
    <t>South</t>
  </si>
  <si>
    <t>7/21/2021</t>
  </si>
  <si>
    <t>5/30/2026</t>
  </si>
  <si>
    <t>Top Performer</t>
  </si>
  <si>
    <t>E004</t>
  </si>
  <si>
    <t>Priya Nair</t>
  </si>
  <si>
    <t>Finance</t>
  </si>
  <si>
    <t>East</t>
  </si>
  <si>
    <t>4/20/2026</t>
  </si>
  <si>
    <t>Delayed</t>
  </si>
  <si>
    <t>Consistent</t>
  </si>
  <si>
    <t>E005</t>
  </si>
  <si>
    <t>Aditya Rao</t>
  </si>
  <si>
    <t>5/27/2026</t>
  </si>
  <si>
    <t>5/29/2026</t>
  </si>
  <si>
    <t>Duplicate ID</t>
  </si>
  <si>
    <t>E006</t>
  </si>
  <si>
    <t>Kavya Patel</t>
  </si>
  <si>
    <t>Marketing</t>
  </si>
  <si>
    <t>9/14/2023</t>
  </si>
  <si>
    <t>6/15/2026</t>
  </si>
  <si>
    <t>Follow Up</t>
  </si>
  <si>
    <t>E007</t>
  </si>
  <si>
    <t>Vikram Singh</t>
  </si>
  <si>
    <t>3/18/2022</t>
  </si>
  <si>
    <t>5/26/2026</t>
  </si>
  <si>
    <t>Outstanding</t>
  </si>
  <si>
    <t>E008</t>
  </si>
  <si>
    <t>Ananya Das</t>
  </si>
  <si>
    <t>8/25/2021</t>
  </si>
  <si>
    <t>Critical</t>
  </si>
  <si>
    <t>E009</t>
  </si>
  <si>
    <t>Rahul Joshi</t>
  </si>
  <si>
    <t>Good</t>
  </si>
  <si>
    <t>E010</t>
  </si>
  <si>
    <t>Simran Kaur</t>
  </si>
  <si>
    <t>6/30/2022</t>
  </si>
  <si>
    <t>5/31/2026</t>
  </si>
  <si>
    <t>E011</t>
  </si>
  <si>
    <t>Arjun Verma</t>
  </si>
  <si>
    <t>Low Attendance</t>
  </si>
  <si>
    <t>E012</t>
  </si>
  <si>
    <t>Sneha Kulkarni</t>
  </si>
  <si>
    <t>10/19/2020</t>
  </si>
  <si>
    <t>5/24/2026</t>
  </si>
  <si>
    <t>6/20/2026</t>
  </si>
  <si>
    <t>Best Employee</t>
  </si>
  <si>
    <t>E013</t>
  </si>
  <si>
    <t>Manish Gupta</t>
  </si>
  <si>
    <t>5/16/2021</t>
  </si>
  <si>
    <t>Average</t>
  </si>
  <si>
    <t>E014</t>
  </si>
  <si>
    <t>Pooja Reddy</t>
  </si>
  <si>
    <t>9/27/2022</t>
  </si>
  <si>
    <t>5/14/2026</t>
  </si>
  <si>
    <t>6/18/2026</t>
  </si>
  <si>
    <t>E015</t>
  </si>
  <si>
    <t>Karan Malhotra</t>
  </si>
  <si>
    <t>4/29/2026</t>
  </si>
  <si>
    <t>Urgent Review</t>
  </si>
  <si>
    <t>E016</t>
  </si>
  <si>
    <t>Isha Banerjee</t>
  </si>
  <si>
    <t>Very Good</t>
  </si>
  <si>
    <t>E017</t>
  </si>
  <si>
    <t>Dev Khanna</t>
  </si>
  <si>
    <t>5/15/2026</t>
  </si>
  <si>
    <t>Target Met</t>
  </si>
  <si>
    <t>E018</t>
  </si>
  <si>
    <t>Meera Pillai</t>
  </si>
  <si>
    <t>3/20/2024</t>
  </si>
  <si>
    <t>very Good</t>
  </si>
  <si>
    <t>E019</t>
  </si>
  <si>
    <t>Yash Thakur</t>
  </si>
  <si>
    <t>2/17/2023</t>
  </si>
  <si>
    <t>5/21/2026</t>
  </si>
  <si>
    <t>6/14/2026</t>
  </si>
  <si>
    <t>Stable</t>
  </si>
  <si>
    <t>E020</t>
  </si>
  <si>
    <t>Ritika Sen</t>
  </si>
  <si>
    <t>1/26/2022</t>
  </si>
  <si>
    <t>Star Performer</t>
  </si>
  <si>
    <t>6/23/2026</t>
  </si>
  <si>
    <t>6/19/2026</t>
  </si>
  <si>
    <t>5/25/2026</t>
  </si>
  <si>
    <t>5/23/2026</t>
  </si>
  <si>
    <t>5/19/2026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</si>
</sst>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u/>
      <sz val="12"/>
      <color rgb="FFFF0000"/>
      <name val="Aptos Narrow (Body)"/>
    </font>
    <font>
      <sz val="12"/>
      <color rgb="FFFF0000"/>
      <name val="Aptos Narrow (Body)"/>
    </font>
    <font>
      <sz val="12"/>
      <color rgb="FFFF0000"/>
      <name val="Aptos Narrow"/>
      <family val="2"/>
      <scheme val="minor"/>
    </font>
    <font>
      <sz val="12"/>
      <color rgb="FFFFFF00"/>
      <name val="Aptos Narrow"/>
      <family val="2"/>
      <scheme val="minor"/>
    </font>
    <font>
      <sz val="12"/>
      <color theme="3" tint="0.249977111117893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top"/>
    </xf>
    <xf numFmtId="1" fontId="0" fillId="0" borderId="0" xfId="0" applyNumberFormat="1"/>
    <xf numFmtId="0" fontId="2" fillId="0" borderId="0" xfId="0" applyFont="1"/>
    <xf numFmtId="0" fontId="3" fillId="0" borderId="0" xfId="0" applyFont="1" applyAlignment="1">
      <alignment horizontal="left" vertical="center"/>
    </xf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4" fillId="0" borderId="0" xfId="0" applyFont="1"/>
    <xf numFmtId="0" fontId="5" fillId="0" borderId="0" xfId="0" applyFont="1"/>
    <xf numFmtId="0" fontId="6" fillId="0" borderId="0" xfId="0" applyFont="1"/>
    <xf numFmtId="14" fontId="0" fillId="0" borderId="0" xfId="0" applyNumberFormat="1" applyAlignment="1">
      <alignment horizontal="left" vertical="top"/>
    </xf>
  </cellXfs>
  <cellStyles count="1">
    <cellStyle name="Normal" xfId="0" builtinId="0"/>
  </cellStyles>
  <dxfs count="10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FF00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1" tint="0.34998626667073579"/>
        </patternFill>
      </fill>
    </dxf>
    <dxf>
      <fill>
        <patternFill>
          <bgColor theme="8" tint="0.39994506668294322"/>
        </patternFill>
      </fill>
    </dxf>
    <dxf>
      <font>
        <color theme="0"/>
      </font>
      <fill>
        <patternFill>
          <bgColor theme="1" tint="0.3499862666707357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fgColor theme="3" tint="0.499984740745262"/>
          <bgColor theme="3" tint="0.49998474074526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rgb="FF7030A0"/>
        </patternFill>
      </fill>
    </dxf>
    <dxf>
      <font>
        <color theme="1"/>
      </font>
      <fill>
        <patternFill>
          <bgColor rgb="FFFF0000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0"/>
      </font>
      <fill>
        <patternFill>
          <bgColor theme="3" tint="9.9948118533890809E-2"/>
        </patternFill>
      </fill>
    </dxf>
    <dxf>
      <font>
        <color theme="2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fgColor theme="8" tint="0.39994506668294322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8F7E-1223-4E45-9074-43E503427244}">
  <dimension ref="A1:L45"/>
  <sheetViews>
    <sheetView topLeftCell="A6" zoomScale="138" workbookViewId="0">
      <selection activeCell="A16" sqref="A16:L20"/>
    </sheetView>
  </sheetViews>
  <sheetFormatPr baseColWidth="10" defaultRowHeight="16" x14ac:dyDescent="0.2"/>
  <cols>
    <col min="3" max="3" width="10.6640625" customWidth="1"/>
    <col min="4" max="4" width="10.83203125" style="1"/>
    <col min="6" max="6" width="10.83203125" style="2"/>
    <col min="8" max="8" width="15.33203125" bestFit="1" customWidth="1"/>
    <col min="9" max="9" width="12.33203125" bestFit="1" customWidth="1"/>
    <col min="10" max="10" width="6.33203125" bestFit="1" customWidth="1"/>
  </cols>
  <sheetData>
    <row r="1" spans="1:12" x14ac:dyDescent="0.2">
      <c r="A1">
        <v>1</v>
      </c>
      <c r="B1">
        <v>1</v>
      </c>
      <c r="C1">
        <v>5</v>
      </c>
      <c r="D1" s="1" t="s">
        <v>0</v>
      </c>
      <c r="E1">
        <v>5</v>
      </c>
      <c r="F1" s="2" t="s">
        <v>7</v>
      </c>
    </row>
    <row r="2" spans="1:12" x14ac:dyDescent="0.2">
      <c r="A2">
        <v>1</v>
      </c>
      <c r="B2">
        <v>2</v>
      </c>
      <c r="C2">
        <v>10</v>
      </c>
      <c r="D2" s="1" t="s">
        <v>1</v>
      </c>
      <c r="E2">
        <v>10</v>
      </c>
      <c r="F2" s="2" t="s">
        <v>8</v>
      </c>
    </row>
    <row r="3" spans="1:12" x14ac:dyDescent="0.2">
      <c r="A3">
        <v>1</v>
      </c>
      <c r="B3">
        <v>3</v>
      </c>
      <c r="C3">
        <v>15</v>
      </c>
      <c r="D3" s="1" t="s">
        <v>2</v>
      </c>
      <c r="E3">
        <v>15</v>
      </c>
      <c r="F3" s="2" t="s">
        <v>9</v>
      </c>
    </row>
    <row r="4" spans="1:12" x14ac:dyDescent="0.2">
      <c r="A4">
        <v>1</v>
      </c>
      <c r="B4">
        <v>4</v>
      </c>
      <c r="C4">
        <v>20</v>
      </c>
      <c r="D4" s="1" t="s">
        <v>3</v>
      </c>
      <c r="E4">
        <v>20</v>
      </c>
      <c r="F4" s="2" t="s">
        <v>10</v>
      </c>
    </row>
    <row r="5" spans="1:12" x14ac:dyDescent="0.2">
      <c r="A5">
        <v>1</v>
      </c>
      <c r="B5">
        <v>5</v>
      </c>
      <c r="C5">
        <v>25</v>
      </c>
      <c r="D5" s="1" t="s">
        <v>4</v>
      </c>
      <c r="E5">
        <v>25</v>
      </c>
      <c r="F5" s="2" t="s">
        <v>11</v>
      </c>
    </row>
    <row r="6" spans="1:12" x14ac:dyDescent="0.2">
      <c r="A6">
        <v>1</v>
      </c>
      <c r="B6">
        <v>6</v>
      </c>
      <c r="C6">
        <v>30</v>
      </c>
      <c r="D6" s="1" t="s">
        <v>5</v>
      </c>
      <c r="E6">
        <v>30</v>
      </c>
      <c r="F6" s="2" t="s">
        <v>12</v>
      </c>
    </row>
    <row r="7" spans="1:12" x14ac:dyDescent="0.2">
      <c r="A7">
        <v>1</v>
      </c>
      <c r="B7">
        <v>7</v>
      </c>
      <c r="C7">
        <v>35</v>
      </c>
      <c r="D7" s="1" t="s">
        <v>6</v>
      </c>
      <c r="E7">
        <v>35</v>
      </c>
      <c r="F7" s="2" t="s">
        <v>13</v>
      </c>
    </row>
    <row r="8" spans="1:12" x14ac:dyDescent="0.2">
      <c r="A8">
        <v>1</v>
      </c>
      <c r="B8">
        <v>8</v>
      </c>
      <c r="C8">
        <v>40</v>
      </c>
      <c r="E8">
        <v>40</v>
      </c>
      <c r="F8" s="2" t="s">
        <v>14</v>
      </c>
    </row>
    <row r="9" spans="1:12" x14ac:dyDescent="0.2">
      <c r="A9">
        <v>1</v>
      </c>
      <c r="B9">
        <v>9</v>
      </c>
      <c r="C9">
        <v>45</v>
      </c>
      <c r="E9">
        <v>45</v>
      </c>
      <c r="F9" s="2" t="s">
        <v>15</v>
      </c>
    </row>
    <row r="10" spans="1:12" x14ac:dyDescent="0.2">
      <c r="A10">
        <v>1</v>
      </c>
      <c r="B10">
        <v>10</v>
      </c>
      <c r="C10">
        <v>50</v>
      </c>
      <c r="E10">
        <v>50</v>
      </c>
      <c r="F10" s="2" t="s">
        <v>16</v>
      </c>
    </row>
    <row r="11" spans="1:12" x14ac:dyDescent="0.2">
      <c r="A11">
        <v>1</v>
      </c>
      <c r="B11">
        <v>11</v>
      </c>
      <c r="C11">
        <v>55</v>
      </c>
      <c r="E11">
        <v>55</v>
      </c>
      <c r="F11" s="2" t="s">
        <v>17</v>
      </c>
    </row>
    <row r="12" spans="1:12" x14ac:dyDescent="0.2">
      <c r="A12">
        <v>1</v>
      </c>
      <c r="B12">
        <v>12</v>
      </c>
      <c r="C12">
        <v>60</v>
      </c>
      <c r="E12">
        <v>60</v>
      </c>
      <c r="F12" s="2" t="s">
        <v>18</v>
      </c>
    </row>
    <row r="14" spans="1:12" x14ac:dyDescent="0.2">
      <c r="B14" s="7" t="s">
        <v>39</v>
      </c>
    </row>
    <row r="16" spans="1:12" x14ac:dyDescent="0.2">
      <c r="A16" s="3" t="s">
        <v>19</v>
      </c>
      <c r="B16" s="3" t="s">
        <v>20</v>
      </c>
      <c r="C16" s="3" t="s">
        <v>21</v>
      </c>
      <c r="D16" s="3" t="s">
        <v>22</v>
      </c>
      <c r="E16" s="3" t="s">
        <v>23</v>
      </c>
      <c r="F16" s="4" t="s">
        <v>28</v>
      </c>
      <c r="G16" s="3" t="s">
        <v>29</v>
      </c>
      <c r="H16" s="3" t="s">
        <v>30</v>
      </c>
      <c r="I16" s="3" t="s">
        <v>31</v>
      </c>
      <c r="J16" s="3" t="s">
        <v>32</v>
      </c>
      <c r="K16" s="3" t="s">
        <v>34</v>
      </c>
      <c r="L16" s="3" t="s">
        <v>33</v>
      </c>
    </row>
    <row r="17" spans="1:12" x14ac:dyDescent="0.2">
      <c r="A17" t="s">
        <v>24</v>
      </c>
      <c r="B17">
        <v>77</v>
      </c>
      <c r="C17">
        <v>85</v>
      </c>
      <c r="D17">
        <v>74</v>
      </c>
      <c r="E17" s="3">
        <f>SUM(B17:D17)</f>
        <v>236</v>
      </c>
      <c r="F17" s="5">
        <f>MAX(B17:D17)</f>
        <v>85</v>
      </c>
      <c r="G17">
        <f>MIN(B17:D17)</f>
        <v>74</v>
      </c>
      <c r="H17" s="6">
        <f>AVERAGE(B17:D17)</f>
        <v>78.666666666666671</v>
      </c>
      <c r="I17">
        <f>E17/300*100</f>
        <v>78.666666666666657</v>
      </c>
      <c r="J17" t="str">
        <f>IF(I17&gt;=35,"pass","fail")</f>
        <v>pass</v>
      </c>
      <c r="K17" t="str">
        <f>IF(AND(B17&gt;=35,C17&gt;=35,D17&gt;=35),"PASS","FAIL")</f>
        <v>PASS</v>
      </c>
      <c r="L17" t="str">
        <f>IF(OR(B17&lt;=35,C17&lt;=35,D17&lt;=35),"Fail","Pass")</f>
        <v>Pass</v>
      </c>
    </row>
    <row r="18" spans="1:12" x14ac:dyDescent="0.2">
      <c r="A18" t="s">
        <v>25</v>
      </c>
      <c r="B18">
        <v>92</v>
      </c>
      <c r="C18">
        <v>37</v>
      </c>
      <c r="D18">
        <v>64</v>
      </c>
      <c r="E18" s="3">
        <f t="shared" ref="E18:E20" si="0">SUM(B18:D18)</f>
        <v>193</v>
      </c>
      <c r="F18" s="5">
        <f t="shared" ref="F18:F20" si="1">MAX(B18:D18)</f>
        <v>92</v>
      </c>
      <c r="G18">
        <f t="shared" ref="G18:G20" si="2">MIN(B18:D18)</f>
        <v>37</v>
      </c>
      <c r="H18" s="6">
        <f t="shared" ref="H18:H20" si="3">AVERAGE(B18:D18)</f>
        <v>64.333333333333329</v>
      </c>
      <c r="I18">
        <f t="shared" ref="I18:I20" si="4">E18/300*100</f>
        <v>64.333333333333329</v>
      </c>
      <c r="J18" t="str">
        <f t="shared" ref="J18:J20" si="5">IF(I18&gt;=35,"pass","fail")</f>
        <v>pass</v>
      </c>
      <c r="K18" t="str">
        <f t="shared" ref="K18:K20" si="6">IF(AND(B18&gt;=35,C18&gt;=35,D18&gt;=35),"PASS","FAIL")</f>
        <v>PASS</v>
      </c>
      <c r="L18" t="str">
        <f t="shared" ref="L18:L20" si="7">IF(OR(B18&lt;=35,C18&lt;=35,D18&lt;=35),"Fail","Pass")</f>
        <v>Pass</v>
      </c>
    </row>
    <row r="19" spans="1:12" x14ac:dyDescent="0.2">
      <c r="A19" t="s">
        <v>26</v>
      </c>
      <c r="B19">
        <v>13</v>
      </c>
      <c r="C19">
        <v>57</v>
      </c>
      <c r="D19">
        <v>19</v>
      </c>
      <c r="E19" s="3">
        <f t="shared" si="0"/>
        <v>89</v>
      </c>
      <c r="F19" s="5">
        <f t="shared" si="1"/>
        <v>57</v>
      </c>
      <c r="G19">
        <f t="shared" si="2"/>
        <v>13</v>
      </c>
      <c r="H19">
        <f t="shared" si="3"/>
        <v>29.666666666666668</v>
      </c>
      <c r="I19">
        <f t="shared" si="4"/>
        <v>29.666666666666668</v>
      </c>
      <c r="J19" t="str">
        <f t="shared" si="5"/>
        <v>fail</v>
      </c>
      <c r="K19" t="str">
        <f t="shared" si="6"/>
        <v>FAIL</v>
      </c>
      <c r="L19" t="str">
        <f t="shared" si="7"/>
        <v>Fail</v>
      </c>
    </row>
    <row r="20" spans="1:12" x14ac:dyDescent="0.2">
      <c r="A20" t="s">
        <v>27</v>
      </c>
      <c r="B20">
        <v>89</v>
      </c>
      <c r="C20">
        <v>8</v>
      </c>
      <c r="D20">
        <v>41</v>
      </c>
      <c r="E20" s="3">
        <f t="shared" si="0"/>
        <v>138</v>
      </c>
      <c r="F20" s="5">
        <f t="shared" si="1"/>
        <v>89</v>
      </c>
      <c r="G20">
        <f t="shared" si="2"/>
        <v>8</v>
      </c>
      <c r="H20">
        <f t="shared" si="3"/>
        <v>46</v>
      </c>
      <c r="I20">
        <f t="shared" si="4"/>
        <v>46</v>
      </c>
      <c r="J20" t="str">
        <f t="shared" si="5"/>
        <v>pass</v>
      </c>
      <c r="K20" t="str">
        <f t="shared" si="6"/>
        <v>FAIL</v>
      </c>
      <c r="L20" t="str">
        <f t="shared" si="7"/>
        <v>Fail</v>
      </c>
    </row>
    <row r="21" spans="1:12" x14ac:dyDescent="0.2">
      <c r="D21"/>
      <c r="E21" s="3"/>
      <c r="F21" s="5"/>
    </row>
    <row r="22" spans="1:12" x14ac:dyDescent="0.2">
      <c r="D22"/>
      <c r="E22" s="3"/>
      <c r="F22" s="5"/>
    </row>
    <row r="23" spans="1:12" x14ac:dyDescent="0.2">
      <c r="D23"/>
      <c r="E23" s="3"/>
      <c r="F23" s="5"/>
    </row>
    <row r="24" spans="1:12" x14ac:dyDescent="0.2">
      <c r="D24"/>
      <c r="E24" s="3"/>
      <c r="F24" s="5"/>
    </row>
    <row r="26" spans="1:12" x14ac:dyDescent="0.2">
      <c r="E26" t="s">
        <v>36</v>
      </c>
      <c r="F26" s="2" t="s">
        <v>28</v>
      </c>
      <c r="G26" t="s">
        <v>29</v>
      </c>
      <c r="H26" t="s">
        <v>37</v>
      </c>
      <c r="I26" t="s">
        <v>31</v>
      </c>
      <c r="J26" t="s">
        <v>35</v>
      </c>
      <c r="K26" t="s">
        <v>38</v>
      </c>
    </row>
    <row r="27" spans="1:12" x14ac:dyDescent="0.2">
      <c r="B27">
        <v>59</v>
      </c>
      <c r="C27">
        <v>29</v>
      </c>
      <c r="D27">
        <v>95</v>
      </c>
      <c r="E27">
        <f>SUM(B27:D27)</f>
        <v>183</v>
      </c>
      <c r="F27" s="2">
        <f>MAX(B27,C27,,D27)</f>
        <v>95</v>
      </c>
      <c r="G27">
        <f>MIN(B27,C27,D27)</f>
        <v>29</v>
      </c>
      <c r="H27">
        <f>AVERAGE(B27,C27,D27)</f>
        <v>61</v>
      </c>
      <c r="I27">
        <f>E27/300*100</f>
        <v>61</v>
      </c>
      <c r="K27" t="str">
        <f>IF(AND(B27&gt;=35,C27&gt;=35,D27&gt;=35),"pass","fail")</f>
        <v>fail</v>
      </c>
    </row>
    <row r="28" spans="1:12" x14ac:dyDescent="0.2">
      <c r="B28">
        <v>6</v>
      </c>
      <c r="C28">
        <v>69</v>
      </c>
      <c r="D28">
        <v>23</v>
      </c>
      <c r="E28">
        <f t="shared" ref="E28:E36" si="8">SUM(B28:D28)</f>
        <v>98</v>
      </c>
      <c r="F28" s="2">
        <f t="shared" ref="F28:F36" si="9">MAX(B28,C28,,D28)</f>
        <v>69</v>
      </c>
      <c r="G28">
        <f t="shared" ref="G28:G36" si="10">MIN(B28,C28,D28)</f>
        <v>6</v>
      </c>
      <c r="H28">
        <f t="shared" ref="H28:H36" si="11">AVERAGE(B28,C28,D28)</f>
        <v>32.666666666666664</v>
      </c>
      <c r="I28">
        <f t="shared" ref="I28:I36" si="12">E28/300*100</f>
        <v>32.666666666666664</v>
      </c>
      <c r="K28" t="str">
        <f t="shared" ref="K28:K36" si="13">IF(AND(B28&gt;=35,C28&gt;=35,D28&gt;=35),"pass","fail")</f>
        <v>fail</v>
      </c>
    </row>
    <row r="29" spans="1:12" x14ac:dyDescent="0.2">
      <c r="B29">
        <v>38</v>
      </c>
      <c r="C29">
        <v>27</v>
      </c>
      <c r="D29">
        <v>84</v>
      </c>
      <c r="E29">
        <f t="shared" si="8"/>
        <v>149</v>
      </c>
      <c r="F29" s="2">
        <f t="shared" si="9"/>
        <v>84</v>
      </c>
      <c r="G29">
        <f t="shared" si="10"/>
        <v>27</v>
      </c>
      <c r="H29">
        <f t="shared" si="11"/>
        <v>49.666666666666664</v>
      </c>
      <c r="I29">
        <f t="shared" si="12"/>
        <v>49.666666666666664</v>
      </c>
      <c r="K29" t="str">
        <f t="shared" si="13"/>
        <v>fail</v>
      </c>
    </row>
    <row r="30" spans="1:12" x14ac:dyDescent="0.2">
      <c r="B30">
        <v>37</v>
      </c>
      <c r="C30">
        <v>99</v>
      </c>
      <c r="D30">
        <v>57</v>
      </c>
      <c r="E30">
        <f t="shared" si="8"/>
        <v>193</v>
      </c>
      <c r="F30" s="2">
        <f t="shared" si="9"/>
        <v>99</v>
      </c>
      <c r="G30">
        <f t="shared" si="10"/>
        <v>37</v>
      </c>
      <c r="H30">
        <f t="shared" si="11"/>
        <v>64.333333333333329</v>
      </c>
      <c r="I30">
        <f t="shared" si="12"/>
        <v>64.333333333333329</v>
      </c>
      <c r="K30" t="str">
        <f t="shared" si="13"/>
        <v>pass</v>
      </c>
    </row>
    <row r="31" spans="1:12" x14ac:dyDescent="0.2">
      <c r="B31">
        <v>84</v>
      </c>
      <c r="C31">
        <v>83</v>
      </c>
      <c r="D31">
        <v>32</v>
      </c>
      <c r="E31">
        <f t="shared" si="8"/>
        <v>199</v>
      </c>
      <c r="F31" s="2">
        <f t="shared" si="9"/>
        <v>84</v>
      </c>
      <c r="G31">
        <f t="shared" si="10"/>
        <v>32</v>
      </c>
      <c r="H31">
        <f t="shared" si="11"/>
        <v>66.333333333333329</v>
      </c>
      <c r="I31">
        <f t="shared" si="12"/>
        <v>66.333333333333329</v>
      </c>
      <c r="K31" t="str">
        <f t="shared" si="13"/>
        <v>fail</v>
      </c>
    </row>
    <row r="32" spans="1:12" x14ac:dyDescent="0.2">
      <c r="B32">
        <v>55</v>
      </c>
      <c r="C32">
        <v>24</v>
      </c>
      <c r="D32">
        <v>50</v>
      </c>
      <c r="E32">
        <f t="shared" si="8"/>
        <v>129</v>
      </c>
      <c r="F32" s="2">
        <f t="shared" si="9"/>
        <v>55</v>
      </c>
      <c r="G32">
        <f t="shared" si="10"/>
        <v>24</v>
      </c>
      <c r="H32">
        <f t="shared" si="11"/>
        <v>43</v>
      </c>
      <c r="I32">
        <f t="shared" si="12"/>
        <v>43</v>
      </c>
      <c r="K32" t="str">
        <f t="shared" si="13"/>
        <v>fail</v>
      </c>
    </row>
    <row r="33" spans="2:11" x14ac:dyDescent="0.2">
      <c r="B33">
        <v>18</v>
      </c>
      <c r="C33">
        <v>11</v>
      </c>
      <c r="D33">
        <v>55</v>
      </c>
      <c r="E33">
        <f t="shared" si="8"/>
        <v>84</v>
      </c>
      <c r="F33" s="2">
        <f t="shared" si="9"/>
        <v>55</v>
      </c>
      <c r="G33">
        <f t="shared" si="10"/>
        <v>11</v>
      </c>
      <c r="H33">
        <f t="shared" si="11"/>
        <v>28</v>
      </c>
      <c r="I33">
        <f t="shared" si="12"/>
        <v>28.000000000000004</v>
      </c>
      <c r="K33" t="str">
        <f t="shared" si="13"/>
        <v>fail</v>
      </c>
    </row>
    <row r="34" spans="2:11" x14ac:dyDescent="0.2">
      <c r="B34">
        <v>30</v>
      </c>
      <c r="C34">
        <v>69</v>
      </c>
      <c r="D34">
        <v>37</v>
      </c>
      <c r="E34">
        <f t="shared" si="8"/>
        <v>136</v>
      </c>
      <c r="F34" s="2">
        <f t="shared" si="9"/>
        <v>69</v>
      </c>
      <c r="G34">
        <f t="shared" si="10"/>
        <v>30</v>
      </c>
      <c r="H34">
        <f t="shared" si="11"/>
        <v>45.333333333333336</v>
      </c>
      <c r="I34">
        <f t="shared" si="12"/>
        <v>45.333333333333329</v>
      </c>
      <c r="K34" t="str">
        <f t="shared" si="13"/>
        <v>fail</v>
      </c>
    </row>
    <row r="35" spans="2:11" x14ac:dyDescent="0.2">
      <c r="B35">
        <v>10</v>
      </c>
      <c r="C35">
        <v>10</v>
      </c>
      <c r="D35">
        <v>21</v>
      </c>
      <c r="E35">
        <f t="shared" si="8"/>
        <v>41</v>
      </c>
      <c r="F35" s="2">
        <f t="shared" si="9"/>
        <v>21</v>
      </c>
      <c r="G35">
        <f t="shared" si="10"/>
        <v>10</v>
      </c>
      <c r="H35">
        <f t="shared" si="11"/>
        <v>13.666666666666666</v>
      </c>
      <c r="I35">
        <f t="shared" si="12"/>
        <v>13.666666666666666</v>
      </c>
      <c r="K35" t="str">
        <f t="shared" si="13"/>
        <v>fail</v>
      </c>
    </row>
    <row r="36" spans="2:11" x14ac:dyDescent="0.2">
      <c r="B36">
        <v>27</v>
      </c>
      <c r="C36">
        <v>29</v>
      </c>
      <c r="D36">
        <v>23</v>
      </c>
      <c r="E36">
        <f t="shared" si="8"/>
        <v>79</v>
      </c>
      <c r="F36" s="2">
        <f t="shared" si="9"/>
        <v>29</v>
      </c>
      <c r="G36">
        <f t="shared" si="10"/>
        <v>23</v>
      </c>
      <c r="H36">
        <f t="shared" si="11"/>
        <v>26.333333333333332</v>
      </c>
      <c r="I36">
        <f t="shared" si="12"/>
        <v>26.333333333333332</v>
      </c>
      <c r="K36" t="str">
        <f t="shared" si="13"/>
        <v>fail</v>
      </c>
    </row>
    <row r="37" spans="2:11" x14ac:dyDescent="0.2">
      <c r="D37"/>
    </row>
    <row r="38" spans="2:11" x14ac:dyDescent="0.2">
      <c r="D38"/>
    </row>
    <row r="39" spans="2:11" x14ac:dyDescent="0.2">
      <c r="D39"/>
    </row>
    <row r="40" spans="2:11" x14ac:dyDescent="0.2">
      <c r="D40"/>
    </row>
    <row r="41" spans="2:11" x14ac:dyDescent="0.2">
      <c r="D41"/>
    </row>
    <row r="42" spans="2:11" x14ac:dyDescent="0.2">
      <c r="D42"/>
    </row>
    <row r="43" spans="2:11" x14ac:dyDescent="0.2">
      <c r="D43"/>
    </row>
    <row r="44" spans="2:11" x14ac:dyDescent="0.2">
      <c r="D44"/>
    </row>
    <row r="45" spans="2:11" x14ac:dyDescent="0.2">
      <c r="D45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3BABF-4102-E24F-AF9B-19F0B75BF7AE}">
  <dimension ref="A1:O6"/>
  <sheetViews>
    <sheetView zoomScale="138" zoomScaleNormal="138" workbookViewId="0">
      <selection activeCell="A8" sqref="A8"/>
    </sheetView>
  </sheetViews>
  <sheetFormatPr baseColWidth="10" defaultRowHeight="16" x14ac:dyDescent="0.2"/>
  <cols>
    <col min="1" max="1" width="10.5" customWidth="1"/>
    <col min="13" max="13" width="14.5" bestFit="1" customWidth="1"/>
    <col min="14" max="14" width="15" bestFit="1" customWidth="1"/>
  </cols>
  <sheetData>
    <row r="1" spans="1:15" ht="25" customHeight="1" x14ac:dyDescent="0.2">
      <c r="A1" s="8" t="s">
        <v>40</v>
      </c>
    </row>
    <row r="2" spans="1:15" x14ac:dyDescent="0.2">
      <c r="A2" s="3" t="s">
        <v>19</v>
      </c>
      <c r="B2" s="3" t="s">
        <v>20</v>
      </c>
      <c r="C2" s="3" t="s">
        <v>21</v>
      </c>
      <c r="D2" s="3" t="s">
        <v>22</v>
      </c>
      <c r="E2" s="3" t="s">
        <v>23</v>
      </c>
      <c r="F2" s="4" t="s">
        <v>28</v>
      </c>
      <c r="G2" s="3" t="s">
        <v>29</v>
      </c>
      <c r="H2" s="3" t="s">
        <v>30</v>
      </c>
      <c r="I2" s="3" t="s">
        <v>31</v>
      </c>
      <c r="J2" s="3" t="s">
        <v>32</v>
      </c>
      <c r="K2" s="3" t="s">
        <v>34</v>
      </c>
      <c r="L2" s="3" t="s">
        <v>33</v>
      </c>
      <c r="M2" s="3" t="s">
        <v>43</v>
      </c>
      <c r="N2" s="3" t="s">
        <v>41</v>
      </c>
      <c r="O2" s="3" t="s">
        <v>42</v>
      </c>
    </row>
    <row r="3" spans="1:15" x14ac:dyDescent="0.2">
      <c r="A3" t="s">
        <v>24</v>
      </c>
      <c r="B3">
        <v>77</v>
      </c>
      <c r="C3">
        <v>99</v>
      </c>
      <c r="D3">
        <v>99</v>
      </c>
      <c r="E3" s="3">
        <f>SUM(B3:D3)</f>
        <v>275</v>
      </c>
      <c r="F3" s="5">
        <f>MAX(B3:D3)</f>
        <v>99</v>
      </c>
      <c r="G3">
        <f>MIN(B3:D3)</f>
        <v>77</v>
      </c>
      <c r="H3" s="6">
        <f>AVERAGE(B3:D3)</f>
        <v>91.666666666666671</v>
      </c>
      <c r="I3">
        <f>E3/300*100</f>
        <v>91.666666666666657</v>
      </c>
      <c r="J3" t="str">
        <f>IF(I3&gt;=35,"pass","fail")</f>
        <v>pass</v>
      </c>
      <c r="K3" t="str">
        <f>IF(AND(B3&gt;=35,C3&gt;=35,D3&gt;=35),"PASS","FAIL")</f>
        <v>PASS</v>
      </c>
      <c r="L3" t="str">
        <f>IF(OR(B3&lt;=35,C3&lt;=35,D3&lt;=35),"Fail","Pass")</f>
        <v>Pass</v>
      </c>
      <c r="M3" t="str">
        <f>IF(I3&gt;=90,"A++",IF(I3&gt;=70,"A",IF(I3&gt;=60,"B",IF(I3&gt;=50,"C",IF(I3&gt;=40,"D","F")))))</f>
        <v>A++</v>
      </c>
      <c r="N3" t="str">
        <f>IF(M3="F","fail",M3)</f>
        <v>A++</v>
      </c>
      <c r="O3" t="str" cm="1">
        <f t="array" ref="O3">_xlfn.IFS(I3&gt;=90,"A++",I3&gt;=70,"A+",I3&gt;=60,"B",I3&gt;=50,"C",I3&gt;=40,"D",I3&lt;=40,"f")</f>
        <v>A++</v>
      </c>
    </row>
    <row r="4" spans="1:15" x14ac:dyDescent="0.2">
      <c r="A4" t="s">
        <v>25</v>
      </c>
      <c r="B4">
        <v>92</v>
      </c>
      <c r="C4">
        <v>37</v>
      </c>
      <c r="D4">
        <v>64</v>
      </c>
      <c r="E4" s="3">
        <f>SUM(B4:D4)</f>
        <v>193</v>
      </c>
      <c r="F4" s="5">
        <f>MAX(B4:D4)</f>
        <v>92</v>
      </c>
      <c r="G4">
        <f>MIN(B4:D4)</f>
        <v>37</v>
      </c>
      <c r="H4" s="6">
        <f>AVERAGE(B4:D4)</f>
        <v>64.333333333333329</v>
      </c>
      <c r="I4">
        <f t="shared" ref="I4:I6" si="0">E4/300*100</f>
        <v>64.333333333333329</v>
      </c>
      <c r="J4" t="str">
        <f t="shared" ref="J4:J6" si="1">IF(I4&gt;=35,"pass","fail")</f>
        <v>pass</v>
      </c>
      <c r="K4" t="str">
        <f>IF(AND(B4&gt;=35,C4&gt;=35,D4&gt;=35),"PASS","FAIL")</f>
        <v>PASS</v>
      </c>
      <c r="L4" t="str">
        <f>IF(OR(B4&lt;=35,C4&lt;=35,D4&lt;=35),"Fail","Pass")</f>
        <v>Pass</v>
      </c>
      <c r="M4" t="str">
        <f t="shared" ref="M4:M6" si="2">IF(I4&gt;=90,"A++",IF(I4&gt;=70,"A",IF(I4&gt;=60,"B",IF(I4&gt;=50,"C",IF(I4&gt;=40,"D","F")))))</f>
        <v>B</v>
      </c>
      <c r="N4" t="str">
        <f t="shared" ref="N4:N6" si="3">IF(M4="F","fail",M4)</f>
        <v>B</v>
      </c>
      <c r="O4" t="str" cm="1">
        <f t="array" ref="O4">_xlfn.IFS(I4&gt;=90,"A++",I4&gt;=70,"A+",I4&gt;=60,"B",I4&gt;=50,"C",I4&gt;=40,"D",I4&lt;=40,"f")</f>
        <v>B</v>
      </c>
    </row>
    <row r="5" spans="1:15" x14ac:dyDescent="0.2">
      <c r="A5" t="s">
        <v>26</v>
      </c>
      <c r="B5">
        <v>13</v>
      </c>
      <c r="C5">
        <v>57</v>
      </c>
      <c r="D5">
        <v>19</v>
      </c>
      <c r="E5" s="3">
        <f>SUM(B5:D5)</f>
        <v>89</v>
      </c>
      <c r="F5" s="5">
        <f>MAX(B5:D5)</f>
        <v>57</v>
      </c>
      <c r="G5">
        <f>MIN(B5:D5)</f>
        <v>13</v>
      </c>
      <c r="H5">
        <f>AVERAGE(B5:D5)</f>
        <v>29.666666666666668</v>
      </c>
      <c r="I5">
        <f t="shared" si="0"/>
        <v>29.666666666666668</v>
      </c>
      <c r="J5" t="str">
        <f t="shared" si="1"/>
        <v>fail</v>
      </c>
      <c r="K5" t="str">
        <f>IF(AND(B5&gt;=35,C5&gt;=35,D5&gt;=35),"PASS","FAIL")</f>
        <v>FAIL</v>
      </c>
      <c r="L5" t="str">
        <f>IF(OR(B5&lt;=35,C5&lt;=35,D5&lt;=35),"Fail","Pass")</f>
        <v>Fail</v>
      </c>
      <c r="M5" t="str">
        <f t="shared" si="2"/>
        <v>F</v>
      </c>
      <c r="N5" t="str">
        <f t="shared" si="3"/>
        <v>fail</v>
      </c>
      <c r="O5" t="str" cm="1">
        <f t="array" ref="O5">_xlfn.IFS(I5&gt;=90,"A++",I5&gt;=70,"A+",I5&gt;=60,"B",I5&gt;=50,"C",I5&gt;=40,"D",I5&lt;=40,"f")</f>
        <v>f</v>
      </c>
    </row>
    <row r="6" spans="1:15" x14ac:dyDescent="0.2">
      <c r="A6" t="s">
        <v>27</v>
      </c>
      <c r="B6">
        <v>89</v>
      </c>
      <c r="C6">
        <v>8</v>
      </c>
      <c r="D6">
        <v>41</v>
      </c>
      <c r="E6" s="3">
        <f>SUM(B6:D6)</f>
        <v>138</v>
      </c>
      <c r="F6" s="5">
        <f>MAX(B6:D6)</f>
        <v>89</v>
      </c>
      <c r="G6">
        <f>MIN(B6:D6)</f>
        <v>8</v>
      </c>
      <c r="H6">
        <f>AVERAGE(B6:D6)</f>
        <v>46</v>
      </c>
      <c r="I6">
        <f t="shared" si="0"/>
        <v>46</v>
      </c>
      <c r="J6" t="str">
        <f t="shared" si="1"/>
        <v>pass</v>
      </c>
      <c r="K6" t="str">
        <f>IF(AND(B6&gt;=35,C6&gt;=35,D6&gt;=35),"PASS","FAIL")</f>
        <v>FAIL</v>
      </c>
      <c r="L6" t="str">
        <f>IF(OR(B6&lt;=35,C6&lt;=35,D6&lt;=35),"Fail","Pass")</f>
        <v>Fail</v>
      </c>
      <c r="M6" t="str">
        <f t="shared" si="2"/>
        <v>D</v>
      </c>
      <c r="N6" t="str">
        <f t="shared" si="3"/>
        <v>D</v>
      </c>
      <c r="O6" t="str" cm="1">
        <f t="array" ref="O6">_xlfn.IFS(I6&gt;=90,"A++",I6&gt;=70,"A+",I6&gt;=60,"B",I6&gt;=50,"C",I6&gt;=40,"D",I6&lt;=40,"f")</f>
        <v>D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82524-ACA6-3B48-AE6C-FFE7600CD6A1}">
  <dimension ref="A1:T21"/>
  <sheetViews>
    <sheetView zoomScaleNormal="93" workbookViewId="0">
      <selection activeCell="K18" sqref="A1:T21"/>
    </sheetView>
  </sheetViews>
  <sheetFormatPr baseColWidth="10" defaultRowHeight="16" x14ac:dyDescent="0.2"/>
  <cols>
    <col min="1" max="1" width="11.6640625" bestFit="1" customWidth="1"/>
    <col min="2" max="2" width="14.6640625" bestFit="1" customWidth="1"/>
    <col min="3" max="3" width="11" bestFit="1" customWidth="1"/>
    <col min="7" max="7" width="15.1640625" bestFit="1" customWidth="1"/>
    <col min="10" max="10" width="12.6640625" bestFit="1" customWidth="1"/>
    <col min="14" max="14" width="17.6640625" bestFit="1" customWidth="1"/>
    <col min="17" max="17" width="10.6640625" bestFit="1" customWidth="1"/>
    <col min="18" max="18" width="13.83203125" customWidth="1"/>
    <col min="20" max="20" width="15" bestFit="1" customWidth="1"/>
  </cols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64</v>
      </c>
      <c r="B2" t="s">
        <v>65</v>
      </c>
      <c r="C2" t="s">
        <v>66</v>
      </c>
      <c r="D2" t="s">
        <v>67</v>
      </c>
      <c r="E2" s="3" t="s">
        <v>68</v>
      </c>
      <c r="F2" s="3" t="s">
        <v>76</v>
      </c>
      <c r="G2" s="9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</row>
    <row r="3" spans="1:20" x14ac:dyDescent="0.2">
      <c r="A3" t="s">
        <v>72</v>
      </c>
      <c r="B3" t="s">
        <v>73</v>
      </c>
      <c r="C3" t="s">
        <v>74</v>
      </c>
      <c r="D3" t="s">
        <v>75</v>
      </c>
      <c r="E3" s="9">
        <v>44845</v>
      </c>
      <c r="F3" s="9">
        <v>46293</v>
      </c>
      <c r="G3" s="3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</row>
    <row r="4" spans="1:20" x14ac:dyDescent="0.2">
      <c r="A4" t="s">
        <v>80</v>
      </c>
      <c r="B4" t="s">
        <v>81</v>
      </c>
      <c r="C4" t="s">
        <v>82</v>
      </c>
      <c r="D4" t="s">
        <v>83</v>
      </c>
      <c r="E4" s="3" t="s">
        <v>84</v>
      </c>
      <c r="F4" s="9">
        <v>46027</v>
      </c>
      <c r="G4" s="3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</row>
    <row r="5" spans="1:20" x14ac:dyDescent="0.2">
      <c r="A5" t="s">
        <v>87</v>
      </c>
      <c r="B5" t="s">
        <v>88</v>
      </c>
      <c r="C5" t="s">
        <v>89</v>
      </c>
      <c r="D5" t="s">
        <v>90</v>
      </c>
      <c r="E5" s="9">
        <v>45598</v>
      </c>
      <c r="F5" s="3" t="s">
        <v>91</v>
      </c>
      <c r="G5" s="9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</row>
    <row r="6" spans="1:20" x14ac:dyDescent="0.2">
      <c r="A6" t="s">
        <v>94</v>
      </c>
      <c r="B6" t="s">
        <v>95</v>
      </c>
      <c r="C6" t="s">
        <v>66</v>
      </c>
      <c r="D6" t="s">
        <v>67</v>
      </c>
      <c r="E6" s="9">
        <v>43842</v>
      </c>
      <c r="F6" s="3" t="s">
        <v>96</v>
      </c>
      <c r="G6" s="3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</row>
    <row r="7" spans="1:20" x14ac:dyDescent="0.2">
      <c r="A7" t="s">
        <v>99</v>
      </c>
      <c r="B7" t="s">
        <v>100</v>
      </c>
      <c r="C7" t="s">
        <v>101</v>
      </c>
      <c r="D7" t="s">
        <v>75</v>
      </c>
      <c r="E7" s="3" t="s">
        <v>102</v>
      </c>
      <c r="F7" s="3" t="s">
        <v>164</v>
      </c>
      <c r="G7" s="3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</row>
    <row r="8" spans="1:20" x14ac:dyDescent="0.2">
      <c r="A8" t="s">
        <v>105</v>
      </c>
      <c r="B8" t="s">
        <v>106</v>
      </c>
      <c r="C8" t="s">
        <v>82</v>
      </c>
      <c r="D8" t="s">
        <v>83</v>
      </c>
      <c r="E8" s="3" t="s">
        <v>107</v>
      </c>
      <c r="F8" s="9">
        <v>46178</v>
      </c>
      <c r="G8" s="9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</row>
    <row r="9" spans="1:20" x14ac:dyDescent="0.2">
      <c r="A9" t="s">
        <v>110</v>
      </c>
      <c r="B9" t="s">
        <v>111</v>
      </c>
      <c r="C9" t="s">
        <v>89</v>
      </c>
      <c r="D9" t="s">
        <v>90</v>
      </c>
      <c r="E9" s="3" t="s">
        <v>112</v>
      </c>
      <c r="F9" s="9">
        <v>46178</v>
      </c>
      <c r="G9" s="3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</row>
    <row r="10" spans="1:20" x14ac:dyDescent="0.2">
      <c r="A10" t="s">
        <v>114</v>
      </c>
      <c r="B10" t="s">
        <v>115</v>
      </c>
      <c r="C10" t="s">
        <v>74</v>
      </c>
      <c r="D10" t="s">
        <v>75</v>
      </c>
      <c r="E10" s="9">
        <v>45536</v>
      </c>
      <c r="F10" s="3" t="s">
        <v>165</v>
      </c>
      <c r="G10" s="9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</row>
    <row r="11" spans="1:20" x14ac:dyDescent="0.2">
      <c r="A11" t="s">
        <v>117</v>
      </c>
      <c r="B11" t="s">
        <v>118</v>
      </c>
      <c r="C11" t="s">
        <v>101</v>
      </c>
      <c r="D11" t="s">
        <v>67</v>
      </c>
      <c r="E11" s="3" t="s">
        <v>119</v>
      </c>
      <c r="F11" s="9">
        <v>46086</v>
      </c>
      <c r="G11" s="3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</row>
    <row r="12" spans="1:20" x14ac:dyDescent="0.2">
      <c r="A12" t="s">
        <v>121</v>
      </c>
      <c r="B12" t="s">
        <v>122</v>
      </c>
      <c r="C12" t="s">
        <v>66</v>
      </c>
      <c r="D12" t="s">
        <v>83</v>
      </c>
      <c r="E12" s="9">
        <v>45264</v>
      </c>
      <c r="F12" s="9">
        <v>46239</v>
      </c>
      <c r="G12" s="9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</row>
    <row r="13" spans="1:20" x14ac:dyDescent="0.2">
      <c r="A13" t="s">
        <v>124</v>
      </c>
      <c r="B13" t="s">
        <v>125</v>
      </c>
      <c r="C13" t="s">
        <v>82</v>
      </c>
      <c r="D13" t="s">
        <v>90</v>
      </c>
      <c r="E13" s="3" t="s">
        <v>126</v>
      </c>
      <c r="F13" s="3" t="s">
        <v>127</v>
      </c>
      <c r="G13" s="3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</row>
    <row r="14" spans="1:20" x14ac:dyDescent="0.2">
      <c r="A14" t="s">
        <v>130</v>
      </c>
      <c r="B14" t="s">
        <v>131</v>
      </c>
      <c r="C14" t="s">
        <v>89</v>
      </c>
      <c r="D14" t="s">
        <v>75</v>
      </c>
      <c r="E14" s="3" t="s">
        <v>132</v>
      </c>
      <c r="F14" s="9">
        <v>46058</v>
      </c>
      <c r="G14" s="3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</row>
    <row r="15" spans="1:20" x14ac:dyDescent="0.2">
      <c r="A15" t="s">
        <v>134</v>
      </c>
      <c r="B15" t="s">
        <v>135</v>
      </c>
      <c r="C15" t="s">
        <v>74</v>
      </c>
      <c r="D15" t="s">
        <v>83</v>
      </c>
      <c r="E15" s="3" t="s">
        <v>136</v>
      </c>
      <c r="F15" s="3" t="s">
        <v>137</v>
      </c>
      <c r="G15" s="3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</row>
    <row r="16" spans="1:20" x14ac:dyDescent="0.2">
      <c r="A16" t="s">
        <v>139</v>
      </c>
      <c r="B16" t="s">
        <v>140</v>
      </c>
      <c r="C16" t="s">
        <v>101</v>
      </c>
      <c r="D16" t="s">
        <v>67</v>
      </c>
      <c r="E16" s="9">
        <v>44997</v>
      </c>
      <c r="F16" s="3" t="s">
        <v>141</v>
      </c>
      <c r="G16" s="3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</row>
    <row r="17" spans="1:20" x14ac:dyDescent="0.2">
      <c r="A17" t="s">
        <v>143</v>
      </c>
      <c r="B17" t="s">
        <v>144</v>
      </c>
      <c r="C17" t="s">
        <v>82</v>
      </c>
      <c r="D17" t="s">
        <v>90</v>
      </c>
      <c r="E17" s="9">
        <v>44511</v>
      </c>
      <c r="F17" s="3" t="s">
        <v>96</v>
      </c>
      <c r="G17" s="9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</row>
    <row r="18" spans="1:20" x14ac:dyDescent="0.2">
      <c r="A18" t="s">
        <v>146</v>
      </c>
      <c r="B18" t="s">
        <v>147</v>
      </c>
      <c r="C18" t="s">
        <v>66</v>
      </c>
      <c r="D18" t="s">
        <v>75</v>
      </c>
      <c r="E18" s="9">
        <v>44050</v>
      </c>
      <c r="F18" s="3" t="s">
        <v>148</v>
      </c>
      <c r="G18" s="9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</row>
    <row r="19" spans="1:20" x14ac:dyDescent="0.2">
      <c r="A19" t="s">
        <v>150</v>
      </c>
      <c r="B19" t="s">
        <v>151</v>
      </c>
      <c r="C19" t="s">
        <v>89</v>
      </c>
      <c r="D19" t="s">
        <v>83</v>
      </c>
      <c r="E19" s="3" t="s">
        <v>152</v>
      </c>
      <c r="F19" s="9">
        <v>46147</v>
      </c>
      <c r="G19" s="3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</row>
    <row r="20" spans="1:20" x14ac:dyDescent="0.2">
      <c r="A20" t="s">
        <v>154</v>
      </c>
      <c r="B20" t="s">
        <v>155</v>
      </c>
      <c r="C20" t="s">
        <v>74</v>
      </c>
      <c r="D20" t="s">
        <v>67</v>
      </c>
      <c r="E20" s="3" t="s">
        <v>156</v>
      </c>
      <c r="F20" s="3" t="s">
        <v>157</v>
      </c>
      <c r="G20" s="3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</row>
    <row r="21" spans="1:20" x14ac:dyDescent="0.2">
      <c r="A21" t="s">
        <v>160</v>
      </c>
      <c r="B21" t="s">
        <v>161</v>
      </c>
      <c r="C21" t="s">
        <v>101</v>
      </c>
      <c r="D21" t="s">
        <v>90</v>
      </c>
      <c r="E21" s="3" t="s">
        <v>162</v>
      </c>
      <c r="F21" s="9">
        <v>46361</v>
      </c>
      <c r="G21" s="3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</row>
  </sheetData>
  <conditionalFormatting sqref="F2:F21">
    <cfRule type="timePeriod" dxfId="99" priority="8" timePeriod="yesterday">
      <formula>FLOOR(F2,1)=TODAY()-1</formula>
    </cfRule>
    <cfRule type="timePeriod" dxfId="98" priority="11" timePeriod="yesterday">
      <formula>FLOOR(F2,1)=TODAY()-1</formula>
    </cfRule>
  </conditionalFormatting>
  <conditionalFormatting sqref="N2:N21">
    <cfRule type="cellIs" dxfId="97" priority="13" operator="equal">
      <formula>5</formula>
    </cfRule>
  </conditionalFormatting>
  <conditionalFormatting sqref="Q2:Q21">
    <cfRule type="cellIs" dxfId="96" priority="14" operator="between">
      <formula>5</formula>
      <formula>14</formula>
    </cfRule>
    <cfRule type="cellIs" dxfId="95" priority="15" operator="lessThan">
      <formula>5</formula>
    </cfRule>
    <cfRule type="cellIs" dxfId="94" priority="16" operator="greaterThan">
      <formula>14</formula>
    </cfRule>
  </conditionalFormatting>
  <conditionalFormatting sqref="S2:S21">
    <cfRule type="containsText" dxfId="93" priority="12" operator="containsText" text="NO">
      <formula>NOT(ISERROR(SEARCH("NO",S2)))</formula>
    </cfRule>
  </conditionalFormatting>
  <conditionalFormatting sqref="T2:T21">
    <cfRule type="duplicateValues" dxfId="92" priority="7"/>
  </conditionalFormatting>
  <conditionalFormatting sqref="I2:I21">
    <cfRule type="top10" dxfId="91" priority="6" rank="3"/>
  </conditionalFormatting>
  <conditionalFormatting sqref="K2:K21">
    <cfRule type="top10" dxfId="86" priority="5" percent="1" rank="20"/>
    <cfRule type="top10" dxfId="85" priority="3" percent="1" bottom="1" rank="20"/>
  </conditionalFormatting>
  <conditionalFormatting sqref="J2:J21">
    <cfRule type="top10" dxfId="87" priority="4" bottom="1" rank="6"/>
  </conditionalFormatting>
  <conditionalFormatting sqref="P2:P21">
    <cfRule type="aboveAverage" dxfId="83" priority="2"/>
    <cfRule type="aboveAverage" dxfId="82" priority="1" aboveAverage="0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16450-8EA5-E048-B4A4-5A10DFA401B5}">
  <dimension ref="A1:T21"/>
  <sheetViews>
    <sheetView zoomScale="139" workbookViewId="0">
      <selection activeCell="C20" sqref="C20"/>
    </sheetView>
  </sheetViews>
  <sheetFormatPr baseColWidth="10" defaultRowHeight="16" x14ac:dyDescent="0.2"/>
  <sheetData>
    <row r="1" spans="1:20" x14ac:dyDescent="0.2">
      <c r="A1" t="s">
        <v>44</v>
      </c>
      <c r="B1" t="s">
        <v>45</v>
      </c>
      <c r="C1" t="s">
        <v>46</v>
      </c>
      <c r="D1" t="s">
        <v>47</v>
      </c>
      <c r="E1" t="s">
        <v>48</v>
      </c>
      <c r="F1" t="s">
        <v>49</v>
      </c>
      <c r="G1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</row>
    <row r="2" spans="1:20" x14ac:dyDescent="0.2">
      <c r="A2" t="s">
        <v>150</v>
      </c>
      <c r="B2" t="s">
        <v>151</v>
      </c>
      <c r="C2" s="13" t="s">
        <v>89</v>
      </c>
      <c r="D2" s="10" t="s">
        <v>83</v>
      </c>
      <c r="E2" s="3" t="s">
        <v>152</v>
      </c>
      <c r="F2" s="9">
        <v>46147</v>
      </c>
      <c r="G2" s="3" t="s">
        <v>97</v>
      </c>
      <c r="H2">
        <v>39000</v>
      </c>
      <c r="I2">
        <v>18000</v>
      </c>
      <c r="J2">
        <v>-25</v>
      </c>
      <c r="K2">
        <v>58</v>
      </c>
      <c r="L2">
        <v>10</v>
      </c>
      <c r="M2">
        <v>35</v>
      </c>
      <c r="N2">
        <v>1</v>
      </c>
      <c r="O2">
        <v>52000</v>
      </c>
      <c r="P2">
        <v>0</v>
      </c>
      <c r="Q2">
        <v>18</v>
      </c>
      <c r="R2" t="s">
        <v>92</v>
      </c>
      <c r="S2" t="s">
        <v>78</v>
      </c>
      <c r="T2" t="s">
        <v>153</v>
      </c>
    </row>
    <row r="3" spans="1:20" x14ac:dyDescent="0.2">
      <c r="A3" t="s">
        <v>87</v>
      </c>
      <c r="B3" t="s">
        <v>88</v>
      </c>
      <c r="C3" t="s">
        <v>89</v>
      </c>
      <c r="D3" s="10" t="s">
        <v>90</v>
      </c>
      <c r="E3" s="9">
        <v>45598</v>
      </c>
      <c r="F3" s="3" t="s">
        <v>91</v>
      </c>
      <c r="G3" s="9">
        <v>46028</v>
      </c>
      <c r="H3">
        <v>45000</v>
      </c>
      <c r="I3">
        <v>43000</v>
      </c>
      <c r="J3">
        <v>-2</v>
      </c>
      <c r="K3">
        <v>76</v>
      </c>
      <c r="L3">
        <v>25</v>
      </c>
      <c r="M3">
        <v>45</v>
      </c>
      <c r="N3">
        <v>2</v>
      </c>
      <c r="O3">
        <v>67000</v>
      </c>
      <c r="P3">
        <v>2000</v>
      </c>
      <c r="Q3">
        <v>8</v>
      </c>
      <c r="R3" t="s">
        <v>92</v>
      </c>
      <c r="S3" t="s">
        <v>70</v>
      </c>
      <c r="T3" t="s">
        <v>93</v>
      </c>
    </row>
    <row r="4" spans="1:20" x14ac:dyDescent="0.2">
      <c r="A4" t="s">
        <v>143</v>
      </c>
      <c r="B4" t="s">
        <v>144</v>
      </c>
      <c r="C4" t="s">
        <v>82</v>
      </c>
      <c r="D4" s="10" t="s">
        <v>90</v>
      </c>
      <c r="E4" s="9">
        <v>44511</v>
      </c>
      <c r="F4" s="3" t="s">
        <v>96</v>
      </c>
      <c r="G4" s="9">
        <v>46240</v>
      </c>
      <c r="H4">
        <v>78000</v>
      </c>
      <c r="I4">
        <v>80000</v>
      </c>
      <c r="J4">
        <v>18</v>
      </c>
      <c r="K4">
        <v>93</v>
      </c>
      <c r="L4">
        <v>58</v>
      </c>
      <c r="M4">
        <v>60</v>
      </c>
      <c r="N4">
        <v>4</v>
      </c>
      <c r="O4">
        <v>102000</v>
      </c>
      <c r="P4">
        <v>14000</v>
      </c>
      <c r="Q4">
        <v>2</v>
      </c>
      <c r="R4" t="s">
        <v>69</v>
      </c>
      <c r="S4" t="s">
        <v>70</v>
      </c>
      <c r="T4" t="s">
        <v>145</v>
      </c>
    </row>
    <row r="5" spans="1:20" x14ac:dyDescent="0.2">
      <c r="A5" t="s">
        <v>139</v>
      </c>
      <c r="B5" t="s">
        <v>140</v>
      </c>
      <c r="C5" t="s">
        <v>101</v>
      </c>
      <c r="D5" s="10" t="s">
        <v>67</v>
      </c>
      <c r="E5" s="9">
        <v>44997</v>
      </c>
      <c r="F5" s="3" t="s">
        <v>141</v>
      </c>
      <c r="G5" s="3" t="s">
        <v>85</v>
      </c>
      <c r="H5">
        <v>50000</v>
      </c>
      <c r="I5">
        <v>32000</v>
      </c>
      <c r="J5">
        <v>-15</v>
      </c>
      <c r="K5">
        <v>65</v>
      </c>
      <c r="L5">
        <v>18</v>
      </c>
      <c r="M5">
        <v>50</v>
      </c>
      <c r="N5">
        <v>1</v>
      </c>
      <c r="O5">
        <v>59000</v>
      </c>
      <c r="P5">
        <v>500</v>
      </c>
      <c r="Q5">
        <v>15</v>
      </c>
      <c r="R5" t="s">
        <v>77</v>
      </c>
      <c r="S5" t="s">
        <v>78</v>
      </c>
      <c r="T5" t="s">
        <v>142</v>
      </c>
    </row>
    <row r="6" spans="1:20" x14ac:dyDescent="0.2">
      <c r="A6" t="s">
        <v>110</v>
      </c>
      <c r="B6" t="s">
        <v>111</v>
      </c>
      <c r="C6" s="13" t="s">
        <v>89</v>
      </c>
      <c r="D6" t="s">
        <v>90</v>
      </c>
      <c r="E6" s="3" t="s">
        <v>112</v>
      </c>
      <c r="F6" s="9">
        <v>46178</v>
      </c>
      <c r="G6" s="3" t="s">
        <v>96</v>
      </c>
      <c r="H6">
        <v>38000</v>
      </c>
      <c r="I6">
        <v>22000</v>
      </c>
      <c r="J6">
        <v>-18</v>
      </c>
      <c r="K6">
        <v>68</v>
      </c>
      <c r="L6">
        <v>15</v>
      </c>
      <c r="M6">
        <v>40</v>
      </c>
      <c r="N6">
        <v>1</v>
      </c>
      <c r="O6">
        <v>54000</v>
      </c>
      <c r="P6">
        <v>0</v>
      </c>
      <c r="Q6">
        <v>12</v>
      </c>
      <c r="R6" t="s">
        <v>92</v>
      </c>
      <c r="S6" t="s">
        <v>78</v>
      </c>
      <c r="T6" t="s">
        <v>113</v>
      </c>
    </row>
    <row r="7" spans="1:20" x14ac:dyDescent="0.2">
      <c r="A7" t="s">
        <v>130</v>
      </c>
      <c r="B7" t="s">
        <v>131</v>
      </c>
      <c r="C7" t="s">
        <v>89</v>
      </c>
      <c r="D7" t="s">
        <v>75</v>
      </c>
      <c r="E7" s="3" t="s">
        <v>132</v>
      </c>
      <c r="F7" s="9">
        <v>46058</v>
      </c>
      <c r="G7" s="3" t="s">
        <v>108</v>
      </c>
      <c r="H7">
        <v>41000</v>
      </c>
      <c r="I7">
        <v>39000</v>
      </c>
      <c r="J7">
        <v>-3</v>
      </c>
      <c r="K7">
        <v>84</v>
      </c>
      <c r="L7">
        <v>29</v>
      </c>
      <c r="M7">
        <v>38</v>
      </c>
      <c r="N7">
        <v>3</v>
      </c>
      <c r="O7">
        <v>64000</v>
      </c>
      <c r="P7">
        <v>2500</v>
      </c>
      <c r="Q7">
        <v>6</v>
      </c>
      <c r="R7" t="s">
        <v>92</v>
      </c>
      <c r="S7" t="s">
        <v>70</v>
      </c>
      <c r="T7" t="s">
        <v>133</v>
      </c>
    </row>
    <row r="8" spans="1:20" x14ac:dyDescent="0.2">
      <c r="A8" t="s">
        <v>114</v>
      </c>
      <c r="B8" t="s">
        <v>115</v>
      </c>
      <c r="C8" s="13" t="s">
        <v>74</v>
      </c>
      <c r="D8" t="s">
        <v>75</v>
      </c>
      <c r="E8" s="9">
        <v>45536</v>
      </c>
      <c r="F8" s="3" t="s">
        <v>165</v>
      </c>
      <c r="G8" s="9">
        <v>46362</v>
      </c>
      <c r="H8">
        <v>31000</v>
      </c>
      <c r="I8">
        <v>30000</v>
      </c>
      <c r="J8">
        <v>4</v>
      </c>
      <c r="K8">
        <v>91</v>
      </c>
      <c r="L8">
        <v>38</v>
      </c>
      <c r="M8">
        <v>42</v>
      </c>
      <c r="N8">
        <v>4</v>
      </c>
      <c r="O8">
        <v>60000</v>
      </c>
      <c r="P8">
        <v>3500</v>
      </c>
      <c r="Q8">
        <v>3</v>
      </c>
      <c r="R8" t="s">
        <v>69</v>
      </c>
      <c r="S8" t="s">
        <v>70</v>
      </c>
      <c r="T8" t="s">
        <v>116</v>
      </c>
    </row>
    <row r="9" spans="1:20" x14ac:dyDescent="0.2">
      <c r="A9" t="s">
        <v>72</v>
      </c>
      <c r="B9" t="s">
        <v>73</v>
      </c>
      <c r="C9" t="s">
        <v>74</v>
      </c>
      <c r="D9" t="s">
        <v>75</v>
      </c>
      <c r="E9" s="9">
        <v>44845</v>
      </c>
      <c r="F9" s="9">
        <v>46293</v>
      </c>
      <c r="G9" s="3" t="s">
        <v>76</v>
      </c>
      <c r="H9">
        <v>30000</v>
      </c>
      <c r="I9">
        <v>28000</v>
      </c>
      <c r="J9">
        <v>-5</v>
      </c>
      <c r="K9">
        <v>88</v>
      </c>
      <c r="L9">
        <v>30</v>
      </c>
      <c r="M9">
        <v>40</v>
      </c>
      <c r="N9">
        <v>3</v>
      </c>
      <c r="O9">
        <v>58000</v>
      </c>
      <c r="P9">
        <v>4000</v>
      </c>
      <c r="Q9">
        <v>5</v>
      </c>
      <c r="R9" t="s">
        <v>77</v>
      </c>
      <c r="S9" t="s">
        <v>78</v>
      </c>
      <c r="T9" t="s">
        <v>79</v>
      </c>
    </row>
    <row r="10" spans="1:20" x14ac:dyDescent="0.2">
      <c r="A10" t="s">
        <v>134</v>
      </c>
      <c r="B10" t="s">
        <v>135</v>
      </c>
      <c r="C10" t="s">
        <v>74</v>
      </c>
      <c r="D10" s="11" t="s">
        <v>83</v>
      </c>
      <c r="E10" s="3" t="s">
        <v>136</v>
      </c>
      <c r="F10" s="3" t="s">
        <v>137</v>
      </c>
      <c r="G10" s="3" t="s">
        <v>138</v>
      </c>
      <c r="H10">
        <v>36000</v>
      </c>
      <c r="I10">
        <v>47000</v>
      </c>
      <c r="J10">
        <v>22</v>
      </c>
      <c r="K10">
        <v>96</v>
      </c>
      <c r="L10">
        <v>44</v>
      </c>
      <c r="M10">
        <v>48</v>
      </c>
      <c r="N10">
        <v>5</v>
      </c>
      <c r="O10">
        <v>71000</v>
      </c>
      <c r="P10">
        <v>9500</v>
      </c>
      <c r="Q10">
        <v>1</v>
      </c>
      <c r="R10" t="s">
        <v>69</v>
      </c>
      <c r="S10" t="s">
        <v>70</v>
      </c>
      <c r="T10" t="s">
        <v>71</v>
      </c>
    </row>
    <row r="11" spans="1:20" x14ac:dyDescent="0.2">
      <c r="A11" t="s">
        <v>154</v>
      </c>
      <c r="B11" t="s">
        <v>155</v>
      </c>
      <c r="C11" t="s">
        <v>74</v>
      </c>
      <c r="D11" t="s">
        <v>67</v>
      </c>
      <c r="E11" s="3" t="s">
        <v>156</v>
      </c>
      <c r="F11" s="3" t="s">
        <v>157</v>
      </c>
      <c r="G11" s="3" t="s">
        <v>158</v>
      </c>
      <c r="H11">
        <v>34000</v>
      </c>
      <c r="I11">
        <v>36000</v>
      </c>
      <c r="J11">
        <v>8</v>
      </c>
      <c r="K11">
        <v>92</v>
      </c>
      <c r="L11">
        <v>39</v>
      </c>
      <c r="M11">
        <v>40</v>
      </c>
      <c r="N11">
        <v>4</v>
      </c>
      <c r="O11">
        <v>63000</v>
      </c>
      <c r="P11">
        <v>4200</v>
      </c>
      <c r="Q11">
        <v>2</v>
      </c>
      <c r="R11" t="s">
        <v>69</v>
      </c>
      <c r="S11" t="s">
        <v>70</v>
      </c>
      <c r="T11" t="s">
        <v>159</v>
      </c>
    </row>
    <row r="12" spans="1:20" x14ac:dyDescent="0.2">
      <c r="A12" t="s">
        <v>160</v>
      </c>
      <c r="B12" t="s">
        <v>161</v>
      </c>
      <c r="C12" t="s">
        <v>101</v>
      </c>
      <c r="D12" s="11" t="s">
        <v>90</v>
      </c>
      <c r="E12" s="3" t="s">
        <v>162</v>
      </c>
      <c r="F12" s="9">
        <v>46361</v>
      </c>
      <c r="G12" s="3" t="s">
        <v>96</v>
      </c>
      <c r="H12">
        <v>46000</v>
      </c>
      <c r="I12">
        <v>60000</v>
      </c>
      <c r="J12">
        <v>28</v>
      </c>
      <c r="K12">
        <v>97</v>
      </c>
      <c r="L12">
        <v>52</v>
      </c>
      <c r="M12">
        <v>55</v>
      </c>
      <c r="N12">
        <v>5</v>
      </c>
      <c r="O12">
        <v>88000</v>
      </c>
      <c r="P12">
        <v>16000</v>
      </c>
      <c r="Q12">
        <v>1</v>
      </c>
      <c r="R12" t="s">
        <v>69</v>
      </c>
      <c r="S12" t="s">
        <v>70</v>
      </c>
      <c r="T12" t="s">
        <v>163</v>
      </c>
    </row>
    <row r="13" spans="1:20" x14ac:dyDescent="0.2">
      <c r="A13" t="s">
        <v>99</v>
      </c>
      <c r="B13" t="s">
        <v>100</v>
      </c>
      <c r="C13" t="s">
        <v>101</v>
      </c>
      <c r="D13" t="s">
        <v>75</v>
      </c>
      <c r="E13" s="3" t="s">
        <v>102</v>
      </c>
      <c r="F13" s="3" t="s">
        <v>164</v>
      </c>
      <c r="G13" s="3" t="s">
        <v>103</v>
      </c>
      <c r="H13">
        <v>40000</v>
      </c>
      <c r="I13">
        <v>35000</v>
      </c>
      <c r="J13">
        <v>-10</v>
      </c>
      <c r="K13">
        <v>82</v>
      </c>
      <c r="L13">
        <v>28</v>
      </c>
      <c r="M13">
        <v>50</v>
      </c>
      <c r="N13">
        <v>2</v>
      </c>
      <c r="O13">
        <v>61000</v>
      </c>
      <c r="P13">
        <v>1000</v>
      </c>
      <c r="Q13">
        <v>7</v>
      </c>
      <c r="R13" t="s">
        <v>77</v>
      </c>
      <c r="S13" t="s">
        <v>78</v>
      </c>
      <c r="T13" t="s">
        <v>104</v>
      </c>
    </row>
    <row r="14" spans="1:20" x14ac:dyDescent="0.2">
      <c r="A14" t="s">
        <v>117</v>
      </c>
      <c r="B14" t="s">
        <v>118</v>
      </c>
      <c r="C14" t="s">
        <v>101</v>
      </c>
      <c r="D14" t="s">
        <v>67</v>
      </c>
      <c r="E14" s="3" t="s">
        <v>119</v>
      </c>
      <c r="F14" s="9">
        <v>46086</v>
      </c>
      <c r="G14" s="3" t="s">
        <v>120</v>
      </c>
      <c r="H14">
        <v>48000</v>
      </c>
      <c r="I14">
        <v>51000</v>
      </c>
      <c r="J14">
        <v>12</v>
      </c>
      <c r="K14">
        <v>94</v>
      </c>
      <c r="L14">
        <v>41</v>
      </c>
      <c r="M14">
        <v>45</v>
      </c>
      <c r="N14">
        <v>4</v>
      </c>
      <c r="O14">
        <v>72000</v>
      </c>
      <c r="P14">
        <v>8500</v>
      </c>
      <c r="Q14">
        <v>2</v>
      </c>
      <c r="R14" t="s">
        <v>69</v>
      </c>
      <c r="S14" t="s">
        <v>70</v>
      </c>
      <c r="T14" t="s">
        <v>93</v>
      </c>
    </row>
    <row r="15" spans="1:20" x14ac:dyDescent="0.2">
      <c r="A15" t="s">
        <v>146</v>
      </c>
      <c r="B15" t="s">
        <v>147</v>
      </c>
      <c r="C15" t="s">
        <v>66</v>
      </c>
      <c r="D15" t="s">
        <v>75</v>
      </c>
      <c r="E15" s="9">
        <v>44050</v>
      </c>
      <c r="F15" s="3" t="s">
        <v>148</v>
      </c>
      <c r="G15" s="9">
        <v>46059</v>
      </c>
      <c r="H15">
        <v>61000</v>
      </c>
      <c r="I15">
        <v>61000</v>
      </c>
      <c r="J15">
        <v>10</v>
      </c>
      <c r="K15">
        <v>89</v>
      </c>
      <c r="L15">
        <v>40</v>
      </c>
      <c r="M15">
        <v>45</v>
      </c>
      <c r="N15">
        <v>4</v>
      </c>
      <c r="O15">
        <v>86000</v>
      </c>
      <c r="P15">
        <v>11000</v>
      </c>
      <c r="Q15">
        <v>4</v>
      </c>
      <c r="R15" t="s">
        <v>69</v>
      </c>
      <c r="S15" t="s">
        <v>70</v>
      </c>
      <c r="T15" t="s">
        <v>149</v>
      </c>
    </row>
    <row r="16" spans="1:20" x14ac:dyDescent="0.2">
      <c r="A16" t="s">
        <v>121</v>
      </c>
      <c r="B16" t="s">
        <v>122</v>
      </c>
      <c r="C16" t="s">
        <v>66</v>
      </c>
      <c r="D16" t="s">
        <v>83</v>
      </c>
      <c r="E16" s="9">
        <v>45264</v>
      </c>
      <c r="F16" s="9">
        <v>46239</v>
      </c>
      <c r="G16" s="9">
        <v>46087</v>
      </c>
      <c r="H16">
        <v>53000</v>
      </c>
      <c r="I16">
        <v>49000</v>
      </c>
      <c r="J16">
        <v>-4</v>
      </c>
      <c r="K16">
        <v>73</v>
      </c>
      <c r="L16">
        <v>20</v>
      </c>
      <c r="M16">
        <v>35</v>
      </c>
      <c r="N16">
        <v>2</v>
      </c>
      <c r="O16">
        <v>69000</v>
      </c>
      <c r="P16">
        <v>1500</v>
      </c>
      <c r="Q16">
        <v>10</v>
      </c>
      <c r="R16" t="s">
        <v>77</v>
      </c>
      <c r="S16" t="s">
        <v>78</v>
      </c>
      <c r="T16" t="s">
        <v>123</v>
      </c>
    </row>
    <row r="17" spans="1:20" x14ac:dyDescent="0.2">
      <c r="A17" t="s">
        <v>94</v>
      </c>
      <c r="B17" t="s">
        <v>95</v>
      </c>
      <c r="C17" s="15" t="s">
        <v>66</v>
      </c>
      <c r="D17" t="s">
        <v>67</v>
      </c>
      <c r="E17" s="9">
        <v>43842</v>
      </c>
      <c r="F17" s="3" t="s">
        <v>96</v>
      </c>
      <c r="G17" s="3" t="s">
        <v>97</v>
      </c>
      <c r="H17">
        <v>55000</v>
      </c>
      <c r="I17">
        <v>55000</v>
      </c>
      <c r="J17">
        <v>15</v>
      </c>
      <c r="K17">
        <v>100</v>
      </c>
      <c r="L17">
        <v>50</v>
      </c>
      <c r="M17">
        <v>50</v>
      </c>
      <c r="N17">
        <v>4</v>
      </c>
      <c r="O17">
        <v>82000</v>
      </c>
      <c r="P17">
        <v>10000</v>
      </c>
      <c r="Q17">
        <v>0</v>
      </c>
      <c r="R17" t="s">
        <v>69</v>
      </c>
      <c r="S17" t="s">
        <v>70</v>
      </c>
      <c r="T17" t="s">
        <v>98</v>
      </c>
    </row>
    <row r="18" spans="1:20" x14ac:dyDescent="0.2">
      <c r="A18" t="s">
        <v>124</v>
      </c>
      <c r="B18" t="s">
        <v>125</v>
      </c>
      <c r="C18" s="14" t="s">
        <v>82</v>
      </c>
      <c r="D18" t="s">
        <v>90</v>
      </c>
      <c r="E18" s="3" t="s">
        <v>126</v>
      </c>
      <c r="F18" s="3" t="s">
        <v>127</v>
      </c>
      <c r="G18" s="3" t="s">
        <v>128</v>
      </c>
      <c r="H18">
        <v>85000</v>
      </c>
      <c r="I18">
        <v>99000</v>
      </c>
      <c r="J18">
        <v>40</v>
      </c>
      <c r="K18">
        <v>99</v>
      </c>
      <c r="L18">
        <v>75</v>
      </c>
      <c r="M18">
        <v>80</v>
      </c>
      <c r="N18">
        <v>5</v>
      </c>
      <c r="O18">
        <v>125000</v>
      </c>
      <c r="P18">
        <v>30000</v>
      </c>
      <c r="Q18">
        <v>0</v>
      </c>
      <c r="R18" t="s">
        <v>69</v>
      </c>
      <c r="S18" t="s">
        <v>70</v>
      </c>
      <c r="T18" t="s">
        <v>129</v>
      </c>
    </row>
    <row r="19" spans="1:20" x14ac:dyDescent="0.2">
      <c r="A19" t="s">
        <v>80</v>
      </c>
      <c r="B19" t="s">
        <v>81</v>
      </c>
      <c r="C19" s="14" t="s">
        <v>82</v>
      </c>
      <c r="D19" t="s">
        <v>83</v>
      </c>
      <c r="E19" s="3" t="s">
        <v>84</v>
      </c>
      <c r="F19" s="9">
        <v>46027</v>
      </c>
      <c r="G19" s="3" t="s">
        <v>85</v>
      </c>
      <c r="H19">
        <v>70000</v>
      </c>
      <c r="I19">
        <v>81000</v>
      </c>
      <c r="J19">
        <v>30</v>
      </c>
      <c r="K19">
        <v>73</v>
      </c>
      <c r="L19">
        <v>60</v>
      </c>
      <c r="M19">
        <v>65</v>
      </c>
      <c r="N19">
        <v>5</v>
      </c>
      <c r="O19">
        <v>98000</v>
      </c>
      <c r="P19">
        <v>18000</v>
      </c>
      <c r="Q19">
        <v>1</v>
      </c>
      <c r="R19" t="s">
        <v>69</v>
      </c>
      <c r="S19" t="s">
        <v>70</v>
      </c>
      <c r="T19" t="s">
        <v>86</v>
      </c>
    </row>
    <row r="20" spans="1:20" x14ac:dyDescent="0.2">
      <c r="A20" t="s">
        <v>105</v>
      </c>
      <c r="B20" t="s">
        <v>106</v>
      </c>
      <c r="C20" s="15" t="s">
        <v>82</v>
      </c>
      <c r="D20" s="12" t="s">
        <v>83</v>
      </c>
      <c r="E20" s="3" t="s">
        <v>107</v>
      </c>
      <c r="F20" s="9">
        <v>46178</v>
      </c>
      <c r="G20" s="9">
        <v>46148</v>
      </c>
      <c r="H20">
        <v>72000</v>
      </c>
      <c r="I20">
        <v>92000</v>
      </c>
      <c r="J20">
        <v>35</v>
      </c>
      <c r="K20">
        <v>96</v>
      </c>
      <c r="L20">
        <v>66</v>
      </c>
      <c r="M20">
        <v>70</v>
      </c>
      <c r="N20">
        <v>5</v>
      </c>
      <c r="O20">
        <v>110000</v>
      </c>
      <c r="P20">
        <v>25000</v>
      </c>
      <c r="Q20">
        <v>1</v>
      </c>
      <c r="R20" t="s">
        <v>69</v>
      </c>
      <c r="S20" t="s">
        <v>70</v>
      </c>
      <c r="T20" t="s">
        <v>109</v>
      </c>
    </row>
    <row r="21" spans="1:20" x14ac:dyDescent="0.2">
      <c r="A21" t="s">
        <v>64</v>
      </c>
      <c r="B21" t="s">
        <v>65</v>
      </c>
      <c r="C21" t="s">
        <v>66</v>
      </c>
      <c r="D21" s="12" t="s">
        <v>67</v>
      </c>
      <c r="E21" s="3" t="s">
        <v>68</v>
      </c>
      <c r="F21" s="3" t="s">
        <v>76</v>
      </c>
      <c r="G21" s="9">
        <v>46301</v>
      </c>
      <c r="H21">
        <v>50000</v>
      </c>
      <c r="I21">
        <v>62000</v>
      </c>
      <c r="J21">
        <v>24</v>
      </c>
      <c r="K21">
        <v>98</v>
      </c>
      <c r="L21">
        <v>45</v>
      </c>
      <c r="M21">
        <v>50</v>
      </c>
      <c r="N21">
        <v>5</v>
      </c>
      <c r="O21">
        <v>75000</v>
      </c>
      <c r="P21">
        <v>12000</v>
      </c>
      <c r="Q21">
        <v>2</v>
      </c>
      <c r="R21" t="s">
        <v>69</v>
      </c>
      <c r="S21" t="s">
        <v>70</v>
      </c>
      <c r="T21" t="s">
        <v>71</v>
      </c>
    </row>
  </sheetData>
  <sortState xmlns:xlrd2="http://schemas.microsoft.com/office/spreadsheetml/2017/richdata2" ref="A2:T21">
    <sortCondition sortBy="cellColor" ref="D2:D21" dxfId="7"/>
    <sortCondition descending="1" sortBy="cellColor" ref="D2:D21" dxfId="6"/>
    <sortCondition sortBy="fontColor" ref="C2:C21" dxfId="5"/>
    <sortCondition descending="1" sortBy="fontColor" ref="C2:C21" dxfId="4"/>
  </sortState>
  <conditionalFormatting sqref="F2:F21">
    <cfRule type="timePeriod" dxfId="61" priority="12" timePeriod="yesterday">
      <formula>FLOOR(F2,1)=TODAY()-1</formula>
    </cfRule>
    <cfRule type="timePeriod" dxfId="60" priority="13" timePeriod="yesterday">
      <formula>FLOOR(F2,1)=TODAY()-1</formula>
    </cfRule>
  </conditionalFormatting>
  <conditionalFormatting sqref="N2:N21">
    <cfRule type="cellIs" dxfId="59" priority="15" operator="equal">
      <formula>5</formula>
    </cfRule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{CB04B32F-7EE5-8440-84F7-080BEFD6D231}</x14:id>
        </ext>
      </extLst>
    </cfRule>
  </conditionalFormatting>
  <conditionalFormatting sqref="Q2:Q21">
    <cfRule type="cellIs" dxfId="58" priority="16" operator="between">
      <formula>5</formula>
      <formula>14</formula>
    </cfRule>
    <cfRule type="cellIs" dxfId="57" priority="17" operator="lessThan">
      <formula>5</formula>
    </cfRule>
    <cfRule type="cellIs" dxfId="56" priority="18" operator="greaterThan">
      <formula>14</formula>
    </cfRule>
  </conditionalFormatting>
  <conditionalFormatting sqref="S2:S21">
    <cfRule type="containsText" dxfId="55" priority="14" operator="containsText" text="NO">
      <formula>NOT(ISERROR(SEARCH("NO",S2)))</formula>
    </cfRule>
  </conditionalFormatting>
  <conditionalFormatting sqref="T2:T21">
    <cfRule type="duplicateValues" dxfId="54" priority="11"/>
  </conditionalFormatting>
  <conditionalFormatting sqref="I2:I21">
    <cfRule type="top10" dxfId="53" priority="10" rank="3"/>
  </conditionalFormatting>
  <conditionalFormatting sqref="K2:K21">
    <cfRule type="top10" dxfId="52" priority="7" percent="1" bottom="1" rank="20"/>
    <cfRule type="top10" dxfId="51" priority="9" percent="1" rank="20"/>
  </conditionalFormatting>
  <conditionalFormatting sqref="J2:J21">
    <cfRule type="top10" dxfId="50" priority="8" bottom="1" rank="6"/>
  </conditionalFormatting>
  <conditionalFormatting sqref="P2:P21">
    <cfRule type="aboveAverage" dxfId="49" priority="5" aboveAverage="0"/>
    <cfRule type="aboveAverage" dxfId="48" priority="6"/>
  </conditionalFormatting>
  <conditionalFormatting sqref="A2:T21">
    <cfRule type="expression" dxfId="47" priority="3">
      <formula>$D2="North"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4B32F-7EE5-8440-84F7-080BEFD6D2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N2:N21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83F1D-6449-0F4D-8DB6-F82B9369689B}">
  <dimension ref="A1:AQ21"/>
  <sheetViews>
    <sheetView tabSelected="1" topLeftCell="Q1" zoomScale="94" workbookViewId="0">
      <selection activeCell="W8" sqref="W8"/>
    </sheetView>
  </sheetViews>
  <sheetFormatPr baseColWidth="10" defaultRowHeight="16" x14ac:dyDescent="0.2"/>
  <cols>
    <col min="5" max="7" width="10.83203125" style="5"/>
    <col min="20" max="20" width="15" bestFit="1" customWidth="1"/>
    <col min="24" max="24" width="11.6640625" bestFit="1" customWidth="1"/>
    <col min="25" max="25" width="14.6640625" bestFit="1" customWidth="1"/>
    <col min="26" max="26" width="11" bestFit="1" customWidth="1"/>
    <col min="28" max="29" width="10.83203125" style="3"/>
    <col min="30" max="30" width="15.1640625" style="3" bestFit="1" customWidth="1"/>
  </cols>
  <sheetData>
    <row r="1" spans="1:43" x14ac:dyDescent="0.2">
      <c r="A1" t="s">
        <v>44</v>
      </c>
      <c r="B1" t="s">
        <v>45</v>
      </c>
      <c r="C1" t="s">
        <v>46</v>
      </c>
      <c r="D1" t="s">
        <v>47</v>
      </c>
      <c r="E1" s="5" t="s">
        <v>48</v>
      </c>
      <c r="F1" s="5" t="s">
        <v>49</v>
      </c>
      <c r="G1" s="5" t="s">
        <v>50</v>
      </c>
      <c r="H1" t="s">
        <v>51</v>
      </c>
      <c r="I1" t="s">
        <v>52</v>
      </c>
      <c r="J1" t="s">
        <v>53</v>
      </c>
      <c r="K1" t="s">
        <v>54</v>
      </c>
      <c r="L1" t="s">
        <v>55</v>
      </c>
      <c r="M1" t="s">
        <v>56</v>
      </c>
      <c r="N1" t="s">
        <v>57</v>
      </c>
      <c r="O1" t="s">
        <v>58</v>
      </c>
      <c r="P1" t="s">
        <v>59</v>
      </c>
      <c r="Q1" t="s">
        <v>60</v>
      </c>
      <c r="R1" t="s">
        <v>61</v>
      </c>
      <c r="S1" t="s">
        <v>62</v>
      </c>
      <c r="T1" t="s">
        <v>63</v>
      </c>
      <c r="X1" t="s">
        <v>44</v>
      </c>
      <c r="Y1" t="s">
        <v>45</v>
      </c>
      <c r="Z1" t="s">
        <v>46</v>
      </c>
      <c r="AA1" t="s">
        <v>47</v>
      </c>
      <c r="AB1" s="5" t="s">
        <v>48</v>
      </c>
      <c r="AC1" s="5" t="s">
        <v>49</v>
      </c>
      <c r="AD1" s="5" t="s">
        <v>50</v>
      </c>
      <c r="AE1" t="s">
        <v>51</v>
      </c>
      <c r="AF1" t="s">
        <v>52</v>
      </c>
      <c r="AG1" t="s">
        <v>53</v>
      </c>
      <c r="AH1" t="s">
        <v>54</v>
      </c>
      <c r="AI1" t="s">
        <v>55</v>
      </c>
      <c r="AJ1" t="s">
        <v>56</v>
      </c>
      <c r="AK1" t="s">
        <v>57</v>
      </c>
      <c r="AL1" t="s">
        <v>58</v>
      </c>
      <c r="AM1" t="s">
        <v>59</v>
      </c>
      <c r="AN1" t="s">
        <v>60</v>
      </c>
      <c r="AO1" t="s">
        <v>61</v>
      </c>
      <c r="AP1" t="s">
        <v>62</v>
      </c>
      <c r="AQ1" t="s">
        <v>63</v>
      </c>
    </row>
    <row r="2" spans="1:43" x14ac:dyDescent="0.2">
      <c r="A2" t="s">
        <v>64</v>
      </c>
      <c r="B2" t="s">
        <v>65</v>
      </c>
      <c r="C2" t="s">
        <v>66</v>
      </c>
      <c r="D2" t="s">
        <v>67</v>
      </c>
      <c r="E2" s="5" t="s">
        <v>68</v>
      </c>
      <c r="F2" s="5" t="s">
        <v>166</v>
      </c>
      <c r="G2" s="16">
        <v>46301</v>
      </c>
      <c r="H2">
        <v>50000</v>
      </c>
      <c r="I2">
        <v>62000</v>
      </c>
      <c r="J2">
        <v>24</v>
      </c>
      <c r="K2">
        <v>98</v>
      </c>
      <c r="L2">
        <v>45</v>
      </c>
      <c r="M2">
        <v>50</v>
      </c>
      <c r="N2">
        <v>5</v>
      </c>
      <c r="O2">
        <v>75000</v>
      </c>
      <c r="P2">
        <v>12000</v>
      </c>
      <c r="Q2">
        <v>2</v>
      </c>
      <c r="R2" t="s">
        <v>69</v>
      </c>
      <c r="S2" t="s">
        <v>70</v>
      </c>
      <c r="T2" t="s">
        <v>71</v>
      </c>
      <c r="X2" t="str" cm="1">
        <f t="array" ref="X2:AQ21">_xlfn._xlws.SORT(A2:T21,W3,W4)</f>
        <v>E020</v>
      </c>
      <c r="Y2" t="str">
        <v>Ritika Sen</v>
      </c>
      <c r="Z2" t="str">
        <v>Marketing</v>
      </c>
      <c r="AA2" t="str">
        <v>East</v>
      </c>
      <c r="AB2" s="3" t="str">
        <v>1/26/2022</v>
      </c>
      <c r="AC2" s="3">
        <v>46361</v>
      </c>
      <c r="AD2" s="3" t="str">
        <v>5/27/2026</v>
      </c>
      <c r="AE2">
        <v>46000</v>
      </c>
      <c r="AF2">
        <v>60000</v>
      </c>
      <c r="AG2">
        <v>28</v>
      </c>
      <c r="AH2">
        <v>97</v>
      </c>
      <c r="AI2">
        <v>52</v>
      </c>
      <c r="AJ2">
        <v>55</v>
      </c>
      <c r="AK2">
        <v>5</v>
      </c>
      <c r="AL2">
        <v>88000</v>
      </c>
      <c r="AM2">
        <v>16000</v>
      </c>
      <c r="AN2">
        <v>1</v>
      </c>
      <c r="AO2" t="str">
        <v>Completed</v>
      </c>
      <c r="AP2" t="str">
        <v>Yes</v>
      </c>
      <c r="AQ2" t="str">
        <v>Star Performer</v>
      </c>
    </row>
    <row r="3" spans="1:43" x14ac:dyDescent="0.2">
      <c r="A3" t="s">
        <v>72</v>
      </c>
      <c r="B3" t="s">
        <v>73</v>
      </c>
      <c r="C3" t="s">
        <v>74</v>
      </c>
      <c r="D3" t="s">
        <v>75</v>
      </c>
      <c r="E3" s="16">
        <v>44845</v>
      </c>
      <c r="F3" s="16">
        <v>46300</v>
      </c>
      <c r="G3" s="5" t="s">
        <v>76</v>
      </c>
      <c r="H3">
        <v>30000</v>
      </c>
      <c r="I3">
        <v>28000</v>
      </c>
      <c r="J3">
        <v>-5</v>
      </c>
      <c r="K3">
        <v>88</v>
      </c>
      <c r="L3">
        <v>30</v>
      </c>
      <c r="M3">
        <v>40</v>
      </c>
      <c r="N3">
        <v>3</v>
      </c>
      <c r="O3">
        <v>58000</v>
      </c>
      <c r="P3">
        <v>4000</v>
      </c>
      <c r="Q3">
        <v>5</v>
      </c>
      <c r="R3" t="s">
        <v>77</v>
      </c>
      <c r="S3" t="s">
        <v>78</v>
      </c>
      <c r="T3" t="s">
        <v>79</v>
      </c>
      <c r="W3">
        <v>1</v>
      </c>
      <c r="X3" t="str">
        <v>E019</v>
      </c>
      <c r="Y3" t="str">
        <v>Yash Thakur</v>
      </c>
      <c r="Z3" t="str">
        <v>HR</v>
      </c>
      <c r="AA3" t="str">
        <v>West</v>
      </c>
      <c r="AB3" s="3" t="str">
        <v>2/17/2023</v>
      </c>
      <c r="AC3" s="3" t="str">
        <v>5/21/2026</v>
      </c>
      <c r="AD3" s="3" t="str">
        <v>6/14/2026</v>
      </c>
      <c r="AE3">
        <v>34000</v>
      </c>
      <c r="AF3">
        <v>36000</v>
      </c>
      <c r="AG3">
        <v>8</v>
      </c>
      <c r="AH3">
        <v>92</v>
      </c>
      <c r="AI3">
        <v>39</v>
      </c>
      <c r="AJ3">
        <v>40</v>
      </c>
      <c r="AK3">
        <v>4</v>
      </c>
      <c r="AL3">
        <v>63000</v>
      </c>
      <c r="AM3">
        <v>4200</v>
      </c>
      <c r="AN3">
        <v>2</v>
      </c>
      <c r="AO3" t="str">
        <v>Completed</v>
      </c>
      <c r="AP3" t="str">
        <v>Yes</v>
      </c>
      <c r="AQ3" t="str">
        <v>Stable</v>
      </c>
    </row>
    <row r="4" spans="1:43" x14ac:dyDescent="0.2">
      <c r="A4" t="s">
        <v>80</v>
      </c>
      <c r="B4" t="s">
        <v>81</v>
      </c>
      <c r="C4" t="s">
        <v>82</v>
      </c>
      <c r="D4" t="s">
        <v>83</v>
      </c>
      <c r="E4" s="5" t="s">
        <v>84</v>
      </c>
      <c r="F4" s="16">
        <v>46027</v>
      </c>
      <c r="G4" s="5" t="s">
        <v>85</v>
      </c>
      <c r="H4">
        <v>70000</v>
      </c>
      <c r="I4">
        <v>81000</v>
      </c>
      <c r="J4">
        <v>30</v>
      </c>
      <c r="K4">
        <v>73</v>
      </c>
      <c r="L4">
        <v>60</v>
      </c>
      <c r="M4">
        <v>65</v>
      </c>
      <c r="N4">
        <v>5</v>
      </c>
      <c r="O4">
        <v>98000</v>
      </c>
      <c r="P4">
        <v>18000</v>
      </c>
      <c r="Q4">
        <v>1</v>
      </c>
      <c r="R4" t="s">
        <v>69</v>
      </c>
      <c r="S4" t="s">
        <v>70</v>
      </c>
      <c r="T4" t="s">
        <v>86</v>
      </c>
      <c r="W4">
        <v>-1</v>
      </c>
      <c r="X4" t="str">
        <v>E018</v>
      </c>
      <c r="Y4" t="str">
        <v>Meera Pillai</v>
      </c>
      <c r="Z4" t="str">
        <v>Finance</v>
      </c>
      <c r="AA4" t="str">
        <v>South</v>
      </c>
      <c r="AB4" s="3" t="str">
        <v>3/20/2024</v>
      </c>
      <c r="AC4" s="3">
        <v>46147</v>
      </c>
      <c r="AD4" s="3" t="str">
        <v>5/29/2026</v>
      </c>
      <c r="AE4">
        <v>39000</v>
      </c>
      <c r="AF4">
        <v>18000</v>
      </c>
      <c r="AG4">
        <v>-25</v>
      </c>
      <c r="AH4">
        <v>58</v>
      </c>
      <c r="AI4">
        <v>10</v>
      </c>
      <c r="AJ4">
        <v>35</v>
      </c>
      <c r="AK4">
        <v>1</v>
      </c>
      <c r="AL4">
        <v>52000</v>
      </c>
      <c r="AM4">
        <v>0</v>
      </c>
      <c r="AN4">
        <v>18</v>
      </c>
      <c r="AO4" t="str">
        <v>Delayed</v>
      </c>
      <c r="AP4" t="str">
        <v>No</v>
      </c>
      <c r="AQ4" t="str">
        <v>very Good</v>
      </c>
    </row>
    <row r="5" spans="1:43" x14ac:dyDescent="0.2">
      <c r="A5" t="s">
        <v>87</v>
      </c>
      <c r="B5" t="s">
        <v>88</v>
      </c>
      <c r="C5" t="s">
        <v>89</v>
      </c>
      <c r="D5" t="s">
        <v>90</v>
      </c>
      <c r="E5" s="16">
        <v>45598</v>
      </c>
      <c r="F5" s="5" t="s">
        <v>91</v>
      </c>
      <c r="G5" s="16">
        <v>46028</v>
      </c>
      <c r="H5">
        <v>45000</v>
      </c>
      <c r="I5">
        <v>43000</v>
      </c>
      <c r="J5">
        <v>-2</v>
      </c>
      <c r="K5">
        <v>76</v>
      </c>
      <c r="L5">
        <v>25</v>
      </c>
      <c r="M5">
        <v>45</v>
      </c>
      <c r="N5">
        <v>2</v>
      </c>
      <c r="O5">
        <v>67000</v>
      </c>
      <c r="P5">
        <v>2000</v>
      </c>
      <c r="Q5">
        <v>8</v>
      </c>
      <c r="R5" t="s">
        <v>92</v>
      </c>
      <c r="S5" t="s">
        <v>70</v>
      </c>
      <c r="T5" t="s">
        <v>93</v>
      </c>
      <c r="X5" t="str">
        <v>E017</v>
      </c>
      <c r="Y5" t="str">
        <v>Dev Khanna</v>
      </c>
      <c r="Z5" t="str">
        <v>Sales</v>
      </c>
      <c r="AA5" t="str">
        <v>North</v>
      </c>
      <c r="AB5" s="3">
        <v>44050</v>
      </c>
      <c r="AC5" s="3" t="str">
        <v>5/15/2026</v>
      </c>
      <c r="AD5" s="3">
        <v>46059</v>
      </c>
      <c r="AE5">
        <v>61000</v>
      </c>
      <c r="AF5">
        <v>61000</v>
      </c>
      <c r="AG5">
        <v>10</v>
      </c>
      <c r="AH5">
        <v>89</v>
      </c>
      <c r="AI5">
        <v>40</v>
      </c>
      <c r="AJ5">
        <v>45</v>
      </c>
      <c r="AK5">
        <v>4</v>
      </c>
      <c r="AL5">
        <v>86000</v>
      </c>
      <c r="AM5">
        <v>11000</v>
      </c>
      <c r="AN5">
        <v>4</v>
      </c>
      <c r="AO5" t="str">
        <v>Completed</v>
      </c>
      <c r="AP5" t="str">
        <v>Yes</v>
      </c>
      <c r="AQ5" t="str">
        <v>Target Met</v>
      </c>
    </row>
    <row r="6" spans="1:43" x14ac:dyDescent="0.2">
      <c r="A6" t="s">
        <v>94</v>
      </c>
      <c r="B6" t="s">
        <v>95</v>
      </c>
      <c r="C6" t="s">
        <v>66</v>
      </c>
      <c r="D6" t="s">
        <v>67</v>
      </c>
      <c r="E6" s="16">
        <v>43842</v>
      </c>
      <c r="F6" s="5" t="s">
        <v>96</v>
      </c>
      <c r="G6" s="5" t="s">
        <v>97</v>
      </c>
      <c r="H6">
        <v>55000</v>
      </c>
      <c r="I6">
        <v>55000</v>
      </c>
      <c r="J6">
        <v>15</v>
      </c>
      <c r="K6">
        <v>100</v>
      </c>
      <c r="L6">
        <v>50</v>
      </c>
      <c r="M6">
        <v>50</v>
      </c>
      <c r="N6">
        <v>4</v>
      </c>
      <c r="O6">
        <v>82000</v>
      </c>
      <c r="P6">
        <v>10000</v>
      </c>
      <c r="Q6">
        <v>0</v>
      </c>
      <c r="R6" t="s">
        <v>69</v>
      </c>
      <c r="S6" t="s">
        <v>70</v>
      </c>
      <c r="T6" t="s">
        <v>98</v>
      </c>
      <c r="X6" t="str">
        <v>E016</v>
      </c>
      <c r="Y6" t="str">
        <v>Isha Banerjee</v>
      </c>
      <c r="Z6" t="str">
        <v>IT</v>
      </c>
      <c r="AA6" t="str">
        <v>East</v>
      </c>
      <c r="AB6" s="3">
        <v>44511</v>
      </c>
      <c r="AC6" s="3" t="str">
        <v>5/27/2026</v>
      </c>
      <c r="AD6" s="3">
        <v>46240</v>
      </c>
      <c r="AE6">
        <v>78000</v>
      </c>
      <c r="AF6">
        <v>80000</v>
      </c>
      <c r="AG6">
        <v>18</v>
      </c>
      <c r="AH6">
        <v>93</v>
      </c>
      <c r="AI6">
        <v>58</v>
      </c>
      <c r="AJ6">
        <v>60</v>
      </c>
      <c r="AK6">
        <v>4</v>
      </c>
      <c r="AL6">
        <v>102000</v>
      </c>
      <c r="AM6">
        <v>14000</v>
      </c>
      <c r="AN6">
        <v>2</v>
      </c>
      <c r="AO6" t="str">
        <v>Completed</v>
      </c>
      <c r="AP6" t="str">
        <v>Yes</v>
      </c>
      <c r="AQ6" t="str">
        <v>Very Good</v>
      </c>
    </row>
    <row r="7" spans="1:43" x14ac:dyDescent="0.2">
      <c r="A7" t="s">
        <v>99</v>
      </c>
      <c r="B7" t="s">
        <v>100</v>
      </c>
      <c r="C7" t="s">
        <v>101</v>
      </c>
      <c r="D7" t="s">
        <v>75</v>
      </c>
      <c r="E7" s="5" t="s">
        <v>102</v>
      </c>
      <c r="F7" s="5" t="s">
        <v>167</v>
      </c>
      <c r="G7" s="5" t="s">
        <v>103</v>
      </c>
      <c r="H7">
        <v>40000</v>
      </c>
      <c r="I7">
        <v>35000</v>
      </c>
      <c r="J7">
        <v>-10</v>
      </c>
      <c r="K7">
        <v>82</v>
      </c>
      <c r="L7">
        <v>28</v>
      </c>
      <c r="M7">
        <v>50</v>
      </c>
      <c r="N7">
        <v>2</v>
      </c>
      <c r="O7">
        <v>61000</v>
      </c>
      <c r="P7">
        <v>1000</v>
      </c>
      <c r="Q7">
        <v>7</v>
      </c>
      <c r="R7" t="s">
        <v>77</v>
      </c>
      <c r="S7" t="s">
        <v>78</v>
      </c>
      <c r="T7" t="s">
        <v>104</v>
      </c>
      <c r="X7" t="str">
        <v>E015</v>
      </c>
      <c r="Y7" t="str">
        <v>Karan Malhotra</v>
      </c>
      <c r="Z7" t="str">
        <v>Marketing</v>
      </c>
      <c r="AA7" t="str">
        <v>West</v>
      </c>
      <c r="AB7" s="3">
        <v>44997</v>
      </c>
      <c r="AC7" s="3" t="str">
        <v>4/29/2026</v>
      </c>
      <c r="AD7" s="3" t="str">
        <v>5/30/2026</v>
      </c>
      <c r="AE7">
        <v>50000</v>
      </c>
      <c r="AF7">
        <v>32000</v>
      </c>
      <c r="AG7">
        <v>-15</v>
      </c>
      <c r="AH7">
        <v>65</v>
      </c>
      <c r="AI7">
        <v>18</v>
      </c>
      <c r="AJ7">
        <v>50</v>
      </c>
      <c r="AK7">
        <v>1</v>
      </c>
      <c r="AL7">
        <v>59000</v>
      </c>
      <c r="AM7">
        <v>500</v>
      </c>
      <c r="AN7">
        <v>15</v>
      </c>
      <c r="AO7" t="str">
        <v>Pending</v>
      </c>
      <c r="AP7" t="str">
        <v>No</v>
      </c>
      <c r="AQ7" t="str">
        <v>Urgent Review</v>
      </c>
    </row>
    <row r="8" spans="1:43" x14ac:dyDescent="0.2">
      <c r="A8" t="s">
        <v>105</v>
      </c>
      <c r="B8" t="s">
        <v>106</v>
      </c>
      <c r="C8" t="s">
        <v>82</v>
      </c>
      <c r="D8" t="s">
        <v>83</v>
      </c>
      <c r="E8" s="5" t="s">
        <v>107</v>
      </c>
      <c r="F8" s="5" t="s">
        <v>108</v>
      </c>
      <c r="G8" s="16">
        <v>46148</v>
      </c>
      <c r="H8">
        <v>72000</v>
      </c>
      <c r="I8">
        <v>92000</v>
      </c>
      <c r="J8">
        <v>35</v>
      </c>
      <c r="K8">
        <v>96</v>
      </c>
      <c r="L8">
        <v>66</v>
      </c>
      <c r="M8">
        <v>70</v>
      </c>
      <c r="N8">
        <v>5</v>
      </c>
      <c r="O8">
        <v>110000</v>
      </c>
      <c r="P8">
        <v>25000</v>
      </c>
      <c r="Q8">
        <v>1</v>
      </c>
      <c r="R8" t="s">
        <v>69</v>
      </c>
      <c r="S8" t="s">
        <v>70</v>
      </c>
      <c r="T8" t="s">
        <v>109</v>
      </c>
      <c r="X8" t="str">
        <v>E014</v>
      </c>
      <c r="Y8" t="str">
        <v>Pooja Reddy</v>
      </c>
      <c r="Z8" t="str">
        <v>HR</v>
      </c>
      <c r="AA8" t="str">
        <v>South</v>
      </c>
      <c r="AB8" s="3" t="str">
        <v>9/27/2022</v>
      </c>
      <c r="AC8" s="3" t="str">
        <v>5/14/2026</v>
      </c>
      <c r="AD8" s="3" t="str">
        <v>6/18/2026</v>
      </c>
      <c r="AE8">
        <v>36000</v>
      </c>
      <c r="AF8">
        <v>47000</v>
      </c>
      <c r="AG8">
        <v>22</v>
      </c>
      <c r="AH8">
        <v>96</v>
      </c>
      <c r="AI8">
        <v>44</v>
      </c>
      <c r="AJ8">
        <v>48</v>
      </c>
      <c r="AK8">
        <v>5</v>
      </c>
      <c r="AL8">
        <v>71000</v>
      </c>
      <c r="AM8">
        <v>9500</v>
      </c>
      <c r="AN8">
        <v>1</v>
      </c>
      <c r="AO8" t="str">
        <v>Completed</v>
      </c>
      <c r="AP8" t="str">
        <v>Yes</v>
      </c>
      <c r="AQ8" t="str">
        <v>Excellent</v>
      </c>
    </row>
    <row r="9" spans="1:43" x14ac:dyDescent="0.2">
      <c r="A9" t="s">
        <v>110</v>
      </c>
      <c r="B9" t="s">
        <v>111</v>
      </c>
      <c r="C9" t="s">
        <v>89</v>
      </c>
      <c r="D9" t="s">
        <v>90</v>
      </c>
      <c r="E9" s="5" t="s">
        <v>112</v>
      </c>
      <c r="F9" s="16">
        <v>46331</v>
      </c>
      <c r="G9" s="5" t="s">
        <v>96</v>
      </c>
      <c r="H9">
        <v>38000</v>
      </c>
      <c r="I9">
        <v>22000</v>
      </c>
      <c r="J9">
        <v>-18</v>
      </c>
      <c r="K9">
        <v>68</v>
      </c>
      <c r="L9">
        <v>15</v>
      </c>
      <c r="M9">
        <v>40</v>
      </c>
      <c r="N9">
        <v>1</v>
      </c>
      <c r="O9">
        <v>54000</v>
      </c>
      <c r="P9">
        <v>0</v>
      </c>
      <c r="Q9">
        <v>12</v>
      </c>
      <c r="R9" t="s">
        <v>92</v>
      </c>
      <c r="S9" t="s">
        <v>78</v>
      </c>
      <c r="T9" t="s">
        <v>113</v>
      </c>
      <c r="X9" t="str">
        <v>E013</v>
      </c>
      <c r="Y9" t="str">
        <v>Manish Gupta</v>
      </c>
      <c r="Z9" t="str">
        <v>Finance</v>
      </c>
      <c r="AA9" t="str">
        <v>North</v>
      </c>
      <c r="AB9" s="3" t="str">
        <v>5/16/2021</v>
      </c>
      <c r="AC9" s="3">
        <v>46058</v>
      </c>
      <c r="AD9" s="3" t="str">
        <v>5/26/2026</v>
      </c>
      <c r="AE9">
        <v>41000</v>
      </c>
      <c r="AF9">
        <v>39000</v>
      </c>
      <c r="AG9">
        <v>-3</v>
      </c>
      <c r="AH9">
        <v>84</v>
      </c>
      <c r="AI9">
        <v>29</v>
      </c>
      <c r="AJ9">
        <v>38</v>
      </c>
      <c r="AK9">
        <v>3</v>
      </c>
      <c r="AL9">
        <v>64000</v>
      </c>
      <c r="AM9">
        <v>2500</v>
      </c>
      <c r="AN9">
        <v>6</v>
      </c>
      <c r="AO9" t="str">
        <v>Delayed</v>
      </c>
      <c r="AP9" t="str">
        <v>Yes</v>
      </c>
      <c r="AQ9" t="str">
        <v>Average</v>
      </c>
    </row>
    <row r="10" spans="1:43" x14ac:dyDescent="0.2">
      <c r="A10" t="s">
        <v>114</v>
      </c>
      <c r="B10" t="s">
        <v>115</v>
      </c>
      <c r="C10" t="s">
        <v>74</v>
      </c>
      <c r="D10" t="s">
        <v>75</v>
      </c>
      <c r="E10" s="16">
        <v>45536</v>
      </c>
      <c r="F10" s="5" t="s">
        <v>168</v>
      </c>
      <c r="G10" s="16">
        <v>46362</v>
      </c>
      <c r="H10">
        <v>31000</v>
      </c>
      <c r="I10">
        <v>30000</v>
      </c>
      <c r="J10">
        <v>4</v>
      </c>
      <c r="K10">
        <v>91</v>
      </c>
      <c r="L10">
        <v>38</v>
      </c>
      <c r="M10">
        <v>42</v>
      </c>
      <c r="N10">
        <v>4</v>
      </c>
      <c r="O10">
        <v>60000</v>
      </c>
      <c r="P10">
        <v>3500</v>
      </c>
      <c r="Q10">
        <v>3</v>
      </c>
      <c r="R10" t="s">
        <v>69</v>
      </c>
      <c r="S10" t="s">
        <v>70</v>
      </c>
      <c r="T10" t="s">
        <v>116</v>
      </c>
      <c r="X10" t="str">
        <v>E012</v>
      </c>
      <c r="Y10" t="str">
        <v>Sneha Kulkarni</v>
      </c>
      <c r="Z10" t="str">
        <v>IT</v>
      </c>
      <c r="AA10" t="str">
        <v>East</v>
      </c>
      <c r="AB10" s="3" t="str">
        <v>10/19/2020</v>
      </c>
      <c r="AC10" s="3" t="str">
        <v>5/24/2026</v>
      </c>
      <c r="AD10" s="3" t="str">
        <v>6/20/2026</v>
      </c>
      <c r="AE10">
        <v>85000</v>
      </c>
      <c r="AF10">
        <v>99000</v>
      </c>
      <c r="AG10">
        <v>40</v>
      </c>
      <c r="AH10">
        <v>99</v>
      </c>
      <c r="AI10">
        <v>75</v>
      </c>
      <c r="AJ10">
        <v>80</v>
      </c>
      <c r="AK10">
        <v>5</v>
      </c>
      <c r="AL10">
        <v>125000</v>
      </c>
      <c r="AM10">
        <v>30000</v>
      </c>
      <c r="AN10">
        <v>0</v>
      </c>
      <c r="AO10" t="str">
        <v>Completed</v>
      </c>
      <c r="AP10" t="str">
        <v>Yes</v>
      </c>
      <c r="AQ10" t="str">
        <v>Best Employee</v>
      </c>
    </row>
    <row r="11" spans="1:43" x14ac:dyDescent="0.2">
      <c r="A11" t="s">
        <v>117</v>
      </c>
      <c r="B11" t="s">
        <v>118</v>
      </c>
      <c r="C11" t="s">
        <v>101</v>
      </c>
      <c r="D11" t="s">
        <v>67</v>
      </c>
      <c r="E11" s="5" t="s">
        <v>119</v>
      </c>
      <c r="F11" s="16">
        <v>46086</v>
      </c>
      <c r="G11" s="5" t="s">
        <v>120</v>
      </c>
      <c r="H11">
        <v>48000</v>
      </c>
      <c r="I11">
        <v>51000</v>
      </c>
      <c r="J11">
        <v>12</v>
      </c>
      <c r="K11">
        <v>94</v>
      </c>
      <c r="L11">
        <v>41</v>
      </c>
      <c r="M11">
        <v>45</v>
      </c>
      <c r="N11">
        <v>4</v>
      </c>
      <c r="O11">
        <v>72000</v>
      </c>
      <c r="P11">
        <v>8500</v>
      </c>
      <c r="Q11">
        <v>2</v>
      </c>
      <c r="R11" t="s">
        <v>69</v>
      </c>
      <c r="S11" t="s">
        <v>70</v>
      </c>
      <c r="T11" t="s">
        <v>93</v>
      </c>
      <c r="X11" t="str">
        <v>E011</v>
      </c>
      <c r="Y11" t="str">
        <v>Arjun Verma</v>
      </c>
      <c r="Z11" t="str">
        <v>Sales</v>
      </c>
      <c r="AA11" t="str">
        <v>South</v>
      </c>
      <c r="AB11" s="3">
        <v>45264</v>
      </c>
      <c r="AC11" s="3">
        <v>46239</v>
      </c>
      <c r="AD11" s="3">
        <v>46087</v>
      </c>
      <c r="AE11">
        <v>53000</v>
      </c>
      <c r="AF11">
        <v>49000</v>
      </c>
      <c r="AG11">
        <v>-4</v>
      </c>
      <c r="AH11">
        <v>73</v>
      </c>
      <c r="AI11">
        <v>20</v>
      </c>
      <c r="AJ11">
        <v>35</v>
      </c>
      <c r="AK11">
        <v>2</v>
      </c>
      <c r="AL11">
        <v>69000</v>
      </c>
      <c r="AM11">
        <v>1500</v>
      </c>
      <c r="AN11">
        <v>10</v>
      </c>
      <c r="AO11" t="str">
        <v>Pending</v>
      </c>
      <c r="AP11" t="str">
        <v>No</v>
      </c>
      <c r="AQ11" t="str">
        <v>Low Attendance</v>
      </c>
    </row>
    <row r="12" spans="1:43" x14ac:dyDescent="0.2">
      <c r="A12" t="s">
        <v>121</v>
      </c>
      <c r="B12" t="s">
        <v>122</v>
      </c>
      <c r="C12" t="s">
        <v>66</v>
      </c>
      <c r="D12" t="s">
        <v>83</v>
      </c>
      <c r="E12" s="16">
        <v>45264</v>
      </c>
      <c r="F12" s="16">
        <v>46239</v>
      </c>
      <c r="G12" s="16">
        <v>46087</v>
      </c>
      <c r="H12">
        <v>53000</v>
      </c>
      <c r="I12">
        <v>49000</v>
      </c>
      <c r="J12">
        <v>-4</v>
      </c>
      <c r="K12">
        <v>73</v>
      </c>
      <c r="L12">
        <v>20</v>
      </c>
      <c r="M12">
        <v>35</v>
      </c>
      <c r="N12">
        <v>2</v>
      </c>
      <c r="O12">
        <v>69000</v>
      </c>
      <c r="P12">
        <v>1500</v>
      </c>
      <c r="Q12">
        <v>10</v>
      </c>
      <c r="R12" t="s">
        <v>77</v>
      </c>
      <c r="S12" t="s">
        <v>78</v>
      </c>
      <c r="T12" t="s">
        <v>123</v>
      </c>
      <c r="X12" t="str">
        <v>E010</v>
      </c>
      <c r="Y12" t="str">
        <v>Simran Kaur</v>
      </c>
      <c r="Z12" t="str">
        <v>Marketing</v>
      </c>
      <c r="AA12" t="str">
        <v>West</v>
      </c>
      <c r="AB12" s="3" t="str">
        <v>6/30/2022</v>
      </c>
      <c r="AC12" s="3">
        <v>46086</v>
      </c>
      <c r="AD12" s="3" t="str">
        <v>5/31/2026</v>
      </c>
      <c r="AE12">
        <v>48000</v>
      </c>
      <c r="AF12">
        <v>51000</v>
      </c>
      <c r="AG12">
        <v>12</v>
      </c>
      <c r="AH12">
        <v>94</v>
      </c>
      <c r="AI12">
        <v>41</v>
      </c>
      <c r="AJ12">
        <v>45</v>
      </c>
      <c r="AK12">
        <v>4</v>
      </c>
      <c r="AL12">
        <v>72000</v>
      </c>
      <c r="AM12">
        <v>8500</v>
      </c>
      <c r="AN12">
        <v>2</v>
      </c>
      <c r="AO12" t="str">
        <v>Completed</v>
      </c>
      <c r="AP12" t="str">
        <v>Yes</v>
      </c>
      <c r="AQ12" t="str">
        <v>Consistent</v>
      </c>
    </row>
    <row r="13" spans="1:43" x14ac:dyDescent="0.2">
      <c r="A13" t="s">
        <v>124</v>
      </c>
      <c r="B13" t="s">
        <v>125</v>
      </c>
      <c r="C13" t="s">
        <v>82</v>
      </c>
      <c r="D13" t="s">
        <v>90</v>
      </c>
      <c r="E13" s="5" t="s">
        <v>126</v>
      </c>
      <c r="F13" s="5" t="s">
        <v>127</v>
      </c>
      <c r="G13" s="5" t="s">
        <v>128</v>
      </c>
      <c r="H13">
        <v>85000</v>
      </c>
      <c r="I13">
        <v>99000</v>
      </c>
      <c r="J13">
        <v>40</v>
      </c>
      <c r="K13">
        <v>99</v>
      </c>
      <c r="L13">
        <v>75</v>
      </c>
      <c r="M13">
        <v>80</v>
      </c>
      <c r="N13">
        <v>5</v>
      </c>
      <c r="O13">
        <v>125000</v>
      </c>
      <c r="P13">
        <v>30000</v>
      </c>
      <c r="Q13">
        <v>0</v>
      </c>
      <c r="R13" t="s">
        <v>69</v>
      </c>
      <c r="S13" t="s">
        <v>70</v>
      </c>
      <c r="T13" t="s">
        <v>129</v>
      </c>
      <c r="X13" t="str">
        <v>E009</v>
      </c>
      <c r="Y13" t="str">
        <v>Rahul Joshi</v>
      </c>
      <c r="Z13" t="str">
        <v>HR</v>
      </c>
      <c r="AA13" t="str">
        <v>North</v>
      </c>
      <c r="AB13" s="3">
        <v>45536</v>
      </c>
      <c r="AC13" s="3" t="str">
        <v>5/19/2026</v>
      </c>
      <c r="AD13" s="3">
        <v>46362</v>
      </c>
      <c r="AE13">
        <v>31000</v>
      </c>
      <c r="AF13">
        <v>30000</v>
      </c>
      <c r="AG13">
        <v>4</v>
      </c>
      <c r="AH13">
        <v>91</v>
      </c>
      <c r="AI13">
        <v>38</v>
      </c>
      <c r="AJ13">
        <v>42</v>
      </c>
      <c r="AK13">
        <v>4</v>
      </c>
      <c r="AL13">
        <v>60000</v>
      </c>
      <c r="AM13">
        <v>3500</v>
      </c>
      <c r="AN13">
        <v>3</v>
      </c>
      <c r="AO13" t="str">
        <v>Completed</v>
      </c>
      <c r="AP13" t="str">
        <v>Yes</v>
      </c>
      <c r="AQ13" t="str">
        <v>Good</v>
      </c>
    </row>
    <row r="14" spans="1:43" x14ac:dyDescent="0.2">
      <c r="A14" t="s">
        <v>130</v>
      </c>
      <c r="B14" t="s">
        <v>131</v>
      </c>
      <c r="C14" t="s">
        <v>89</v>
      </c>
      <c r="D14" t="s">
        <v>75</v>
      </c>
      <c r="E14" s="5" t="s">
        <v>132</v>
      </c>
      <c r="F14" s="16">
        <v>46058</v>
      </c>
      <c r="G14" s="5" t="s">
        <v>108</v>
      </c>
      <c r="H14">
        <v>41000</v>
      </c>
      <c r="I14">
        <v>39000</v>
      </c>
      <c r="J14">
        <v>-3</v>
      </c>
      <c r="K14">
        <v>84</v>
      </c>
      <c r="L14">
        <v>29</v>
      </c>
      <c r="M14">
        <v>38</v>
      </c>
      <c r="N14">
        <v>3</v>
      </c>
      <c r="O14">
        <v>64000</v>
      </c>
      <c r="P14">
        <v>2500</v>
      </c>
      <c r="Q14">
        <v>6</v>
      </c>
      <c r="R14" t="s">
        <v>92</v>
      </c>
      <c r="S14" t="s">
        <v>70</v>
      </c>
      <c r="T14" t="s">
        <v>133</v>
      </c>
      <c r="X14" t="str">
        <v>E008</v>
      </c>
      <c r="Y14" t="str">
        <v>Ananya Das</v>
      </c>
      <c r="Z14" t="str">
        <v>Finance</v>
      </c>
      <c r="AA14" t="str">
        <v>East</v>
      </c>
      <c r="AB14" s="3" t="str">
        <v>8/25/2021</v>
      </c>
      <c r="AC14" s="3">
        <v>46331</v>
      </c>
      <c r="AD14" s="3" t="str">
        <v>5/27/2026</v>
      </c>
      <c r="AE14">
        <v>38000</v>
      </c>
      <c r="AF14">
        <v>22000</v>
      </c>
      <c r="AG14">
        <v>-18</v>
      </c>
      <c r="AH14">
        <v>68</v>
      </c>
      <c r="AI14">
        <v>15</v>
      </c>
      <c r="AJ14">
        <v>40</v>
      </c>
      <c r="AK14">
        <v>1</v>
      </c>
      <c r="AL14">
        <v>54000</v>
      </c>
      <c r="AM14">
        <v>0</v>
      </c>
      <c r="AN14">
        <v>12</v>
      </c>
      <c r="AO14" t="str">
        <v>Delayed</v>
      </c>
      <c r="AP14" t="str">
        <v>No</v>
      </c>
      <c r="AQ14" t="str">
        <v>Critical</v>
      </c>
    </row>
    <row r="15" spans="1:43" x14ac:dyDescent="0.2">
      <c r="A15" t="s">
        <v>134</v>
      </c>
      <c r="B15" t="s">
        <v>135</v>
      </c>
      <c r="C15" t="s">
        <v>74</v>
      </c>
      <c r="D15" t="s">
        <v>83</v>
      </c>
      <c r="E15" s="5" t="s">
        <v>136</v>
      </c>
      <c r="F15" s="5" t="s">
        <v>137</v>
      </c>
      <c r="G15" s="5" t="s">
        <v>138</v>
      </c>
      <c r="H15">
        <v>36000</v>
      </c>
      <c r="I15">
        <v>47000</v>
      </c>
      <c r="J15">
        <v>22</v>
      </c>
      <c r="K15">
        <v>96</v>
      </c>
      <c r="L15">
        <v>44</v>
      </c>
      <c r="M15">
        <v>48</v>
      </c>
      <c r="N15">
        <v>5</v>
      </c>
      <c r="O15">
        <v>71000</v>
      </c>
      <c r="P15">
        <v>9500</v>
      </c>
      <c r="Q15">
        <v>1</v>
      </c>
      <c r="R15" t="s">
        <v>69</v>
      </c>
      <c r="S15" t="s">
        <v>70</v>
      </c>
      <c r="T15" t="s">
        <v>71</v>
      </c>
      <c r="X15" t="str">
        <v>E007</v>
      </c>
      <c r="Y15" t="str">
        <v>Vikram Singh</v>
      </c>
      <c r="Z15" t="str">
        <v>IT</v>
      </c>
      <c r="AA15" t="str">
        <v>South</v>
      </c>
      <c r="AB15" s="3" t="str">
        <v>3/18/2022</v>
      </c>
      <c r="AC15" s="3" t="str">
        <v>5/26/2026</v>
      </c>
      <c r="AD15" s="3">
        <v>46148</v>
      </c>
      <c r="AE15">
        <v>72000</v>
      </c>
      <c r="AF15">
        <v>92000</v>
      </c>
      <c r="AG15">
        <v>35</v>
      </c>
      <c r="AH15">
        <v>96</v>
      </c>
      <c r="AI15">
        <v>66</v>
      </c>
      <c r="AJ15">
        <v>70</v>
      </c>
      <c r="AK15">
        <v>5</v>
      </c>
      <c r="AL15">
        <v>110000</v>
      </c>
      <c r="AM15">
        <v>25000</v>
      </c>
      <c r="AN15">
        <v>1</v>
      </c>
      <c r="AO15" t="str">
        <v>Completed</v>
      </c>
      <c r="AP15" t="str">
        <v>Yes</v>
      </c>
      <c r="AQ15" t="str">
        <v>Outstanding</v>
      </c>
    </row>
    <row r="16" spans="1:43" x14ac:dyDescent="0.2">
      <c r="A16" t="s">
        <v>139</v>
      </c>
      <c r="B16" t="s">
        <v>140</v>
      </c>
      <c r="C16" t="s">
        <v>101</v>
      </c>
      <c r="D16" t="s">
        <v>67</v>
      </c>
      <c r="E16" s="16">
        <v>44997</v>
      </c>
      <c r="F16" s="5" t="s">
        <v>141</v>
      </c>
      <c r="G16" s="5" t="s">
        <v>85</v>
      </c>
      <c r="H16">
        <v>50000</v>
      </c>
      <c r="I16">
        <v>32000</v>
      </c>
      <c r="J16">
        <v>-15</v>
      </c>
      <c r="K16">
        <v>65</v>
      </c>
      <c r="L16">
        <v>18</v>
      </c>
      <c r="M16">
        <v>50</v>
      </c>
      <c r="N16">
        <v>1</v>
      </c>
      <c r="O16">
        <v>59000</v>
      </c>
      <c r="P16">
        <v>500</v>
      </c>
      <c r="Q16">
        <v>15</v>
      </c>
      <c r="R16" t="s">
        <v>77</v>
      </c>
      <c r="S16" t="s">
        <v>78</v>
      </c>
      <c r="T16" t="s">
        <v>142</v>
      </c>
      <c r="X16" t="str">
        <v>E006</v>
      </c>
      <c r="Y16" t="str">
        <v>Kavya Patel</v>
      </c>
      <c r="Z16" t="str">
        <v>Marketing</v>
      </c>
      <c r="AA16" t="str">
        <v>North</v>
      </c>
      <c r="AB16" s="3" t="str">
        <v>9/14/2023</v>
      </c>
      <c r="AC16" s="3" t="str">
        <v>5/23/2026</v>
      </c>
      <c r="AD16" s="3" t="str">
        <v>6/15/2026</v>
      </c>
      <c r="AE16">
        <v>40000</v>
      </c>
      <c r="AF16">
        <v>35000</v>
      </c>
      <c r="AG16">
        <v>-10</v>
      </c>
      <c r="AH16">
        <v>82</v>
      </c>
      <c r="AI16">
        <v>28</v>
      </c>
      <c r="AJ16">
        <v>50</v>
      </c>
      <c r="AK16">
        <v>2</v>
      </c>
      <c r="AL16">
        <v>61000</v>
      </c>
      <c r="AM16">
        <v>1000</v>
      </c>
      <c r="AN16">
        <v>7</v>
      </c>
      <c r="AO16" t="str">
        <v>Pending</v>
      </c>
      <c r="AP16" t="str">
        <v>No</v>
      </c>
      <c r="AQ16" t="str">
        <v>Follow Up</v>
      </c>
    </row>
    <row r="17" spans="1:43" x14ac:dyDescent="0.2">
      <c r="A17" t="s">
        <v>143</v>
      </c>
      <c r="B17" t="s">
        <v>144</v>
      </c>
      <c r="C17" t="s">
        <v>82</v>
      </c>
      <c r="D17" t="s">
        <v>90</v>
      </c>
      <c r="E17" s="16">
        <v>44511</v>
      </c>
      <c r="F17" s="5" t="s">
        <v>96</v>
      </c>
      <c r="G17" s="16">
        <v>46240</v>
      </c>
      <c r="H17">
        <v>78000</v>
      </c>
      <c r="I17">
        <v>80000</v>
      </c>
      <c r="J17">
        <v>18</v>
      </c>
      <c r="K17">
        <v>93</v>
      </c>
      <c r="L17">
        <v>58</v>
      </c>
      <c r="M17">
        <v>60</v>
      </c>
      <c r="N17">
        <v>4</v>
      </c>
      <c r="O17">
        <v>102000</v>
      </c>
      <c r="P17">
        <v>14000</v>
      </c>
      <c r="Q17">
        <v>2</v>
      </c>
      <c r="R17" t="s">
        <v>69</v>
      </c>
      <c r="S17" t="s">
        <v>70</v>
      </c>
      <c r="T17" t="s">
        <v>145</v>
      </c>
      <c r="X17" t="str">
        <v>E005</v>
      </c>
      <c r="Y17" t="str">
        <v>Aditya Rao</v>
      </c>
      <c r="Z17" t="str">
        <v>Sales</v>
      </c>
      <c r="AA17" t="str">
        <v>West</v>
      </c>
      <c r="AB17" s="3">
        <v>43842</v>
      </c>
      <c r="AC17" s="3" t="str">
        <v>5/27/2026</v>
      </c>
      <c r="AD17" s="3" t="str">
        <v>5/29/2026</v>
      </c>
      <c r="AE17">
        <v>55000</v>
      </c>
      <c r="AF17">
        <v>55000</v>
      </c>
      <c r="AG17">
        <v>15</v>
      </c>
      <c r="AH17">
        <v>100</v>
      </c>
      <c r="AI17">
        <v>50</v>
      </c>
      <c r="AJ17">
        <v>50</v>
      </c>
      <c r="AK17">
        <v>4</v>
      </c>
      <c r="AL17">
        <v>82000</v>
      </c>
      <c r="AM17">
        <v>10000</v>
      </c>
      <c r="AN17">
        <v>0</v>
      </c>
      <c r="AO17" t="str">
        <v>Completed</v>
      </c>
      <c r="AP17" t="str">
        <v>Yes</v>
      </c>
      <c r="AQ17" t="str">
        <v>Duplicate ID</v>
      </c>
    </row>
    <row r="18" spans="1:43" x14ac:dyDescent="0.2">
      <c r="A18" t="s">
        <v>146</v>
      </c>
      <c r="B18" t="s">
        <v>147</v>
      </c>
      <c r="C18" t="s">
        <v>66</v>
      </c>
      <c r="D18" t="s">
        <v>75</v>
      </c>
      <c r="E18" s="16">
        <v>44050</v>
      </c>
      <c r="F18" s="5" t="s">
        <v>148</v>
      </c>
      <c r="G18" s="16">
        <v>46059</v>
      </c>
      <c r="H18">
        <v>61000</v>
      </c>
      <c r="I18">
        <v>61000</v>
      </c>
      <c r="J18">
        <v>10</v>
      </c>
      <c r="K18">
        <v>89</v>
      </c>
      <c r="L18">
        <v>40</v>
      </c>
      <c r="M18">
        <v>45</v>
      </c>
      <c r="N18">
        <v>4</v>
      </c>
      <c r="O18">
        <v>86000</v>
      </c>
      <c r="P18">
        <v>11000</v>
      </c>
      <c r="Q18">
        <v>4</v>
      </c>
      <c r="R18" t="s">
        <v>69</v>
      </c>
      <c r="S18" t="s">
        <v>70</v>
      </c>
      <c r="T18" t="s">
        <v>149</v>
      </c>
      <c r="X18" t="str">
        <v>E004</v>
      </c>
      <c r="Y18" t="str">
        <v>Priya Nair</v>
      </c>
      <c r="Z18" t="str">
        <v>Finance</v>
      </c>
      <c r="AA18" t="str">
        <v>East</v>
      </c>
      <c r="AB18" s="3">
        <v>45598</v>
      </c>
      <c r="AC18" s="3" t="str">
        <v>4/20/2026</v>
      </c>
      <c r="AD18" s="3">
        <v>46028</v>
      </c>
      <c r="AE18">
        <v>45000</v>
      </c>
      <c r="AF18">
        <v>43000</v>
      </c>
      <c r="AG18">
        <v>-2</v>
      </c>
      <c r="AH18">
        <v>76</v>
      </c>
      <c r="AI18">
        <v>25</v>
      </c>
      <c r="AJ18">
        <v>45</v>
      </c>
      <c r="AK18">
        <v>2</v>
      </c>
      <c r="AL18">
        <v>67000</v>
      </c>
      <c r="AM18">
        <v>2000</v>
      </c>
      <c r="AN18">
        <v>8</v>
      </c>
      <c r="AO18" t="str">
        <v>Delayed</v>
      </c>
      <c r="AP18" t="str">
        <v>Yes</v>
      </c>
      <c r="AQ18" t="str">
        <v>Consistent</v>
      </c>
    </row>
    <row r="19" spans="1:43" x14ac:dyDescent="0.2">
      <c r="A19" t="s">
        <v>150</v>
      </c>
      <c r="B19" t="s">
        <v>151</v>
      </c>
      <c r="C19" t="s">
        <v>89</v>
      </c>
      <c r="D19" t="s">
        <v>83</v>
      </c>
      <c r="E19" s="5" t="s">
        <v>152</v>
      </c>
      <c r="F19" s="16">
        <v>46147</v>
      </c>
      <c r="G19" s="5" t="s">
        <v>97</v>
      </c>
      <c r="H19">
        <v>39000</v>
      </c>
      <c r="I19">
        <v>18000</v>
      </c>
      <c r="J19">
        <v>-25</v>
      </c>
      <c r="K19">
        <v>58</v>
      </c>
      <c r="L19">
        <v>10</v>
      </c>
      <c r="M19">
        <v>35</v>
      </c>
      <c r="N19">
        <v>1</v>
      </c>
      <c r="O19">
        <v>52000</v>
      </c>
      <c r="P19">
        <v>0</v>
      </c>
      <c r="Q19">
        <v>18</v>
      </c>
      <c r="R19" t="s">
        <v>92</v>
      </c>
      <c r="S19" t="s">
        <v>78</v>
      </c>
      <c r="T19" t="s">
        <v>153</v>
      </c>
      <c r="X19" t="str">
        <v>E003</v>
      </c>
      <c r="Y19" t="str">
        <v>Rohan Iyer</v>
      </c>
      <c r="Z19" t="str">
        <v>IT</v>
      </c>
      <c r="AA19" t="str">
        <v>South</v>
      </c>
      <c r="AB19" s="3" t="str">
        <v>7/21/2021</v>
      </c>
      <c r="AC19" s="3">
        <v>46027</v>
      </c>
      <c r="AD19" s="3" t="str">
        <v>5/30/2026</v>
      </c>
      <c r="AE19">
        <v>70000</v>
      </c>
      <c r="AF19">
        <v>81000</v>
      </c>
      <c r="AG19">
        <v>30</v>
      </c>
      <c r="AH19">
        <v>73</v>
      </c>
      <c r="AI19">
        <v>60</v>
      </c>
      <c r="AJ19">
        <v>65</v>
      </c>
      <c r="AK19">
        <v>5</v>
      </c>
      <c r="AL19">
        <v>98000</v>
      </c>
      <c r="AM19">
        <v>18000</v>
      </c>
      <c r="AN19">
        <v>1</v>
      </c>
      <c r="AO19" t="str">
        <v>Completed</v>
      </c>
      <c r="AP19" t="str">
        <v>Yes</v>
      </c>
      <c r="AQ19" t="str">
        <v>Top Performer</v>
      </c>
    </row>
    <row r="20" spans="1:43" x14ac:dyDescent="0.2">
      <c r="A20" t="s">
        <v>154</v>
      </c>
      <c r="B20" t="s">
        <v>155</v>
      </c>
      <c r="C20" t="s">
        <v>74</v>
      </c>
      <c r="D20" t="s">
        <v>67</v>
      </c>
      <c r="E20" s="5" t="s">
        <v>156</v>
      </c>
      <c r="F20" s="5" t="s">
        <v>157</v>
      </c>
      <c r="G20" s="5" t="s">
        <v>158</v>
      </c>
      <c r="H20">
        <v>34000</v>
      </c>
      <c r="I20">
        <v>36000</v>
      </c>
      <c r="J20">
        <v>8</v>
      </c>
      <c r="K20">
        <v>92</v>
      </c>
      <c r="L20">
        <v>39</v>
      </c>
      <c r="M20">
        <v>40</v>
      </c>
      <c r="N20">
        <v>4</v>
      </c>
      <c r="O20">
        <v>63000</v>
      </c>
      <c r="P20">
        <v>4200</v>
      </c>
      <c r="Q20">
        <v>2</v>
      </c>
      <c r="R20" t="s">
        <v>69</v>
      </c>
      <c r="S20" t="s">
        <v>70</v>
      </c>
      <c r="T20" t="s">
        <v>159</v>
      </c>
      <c r="X20" t="str">
        <v>E002</v>
      </c>
      <c r="Y20" t="str">
        <v>Neha Sharma</v>
      </c>
      <c r="Z20" t="str">
        <v>HR</v>
      </c>
      <c r="AA20" t="str">
        <v>North</v>
      </c>
      <c r="AB20" s="3">
        <v>44845</v>
      </c>
      <c r="AC20" s="3">
        <v>46300</v>
      </c>
      <c r="AD20" s="3" t="str">
        <v>5/28/2026</v>
      </c>
      <c r="AE20">
        <v>30000</v>
      </c>
      <c r="AF20">
        <v>28000</v>
      </c>
      <c r="AG20">
        <v>-5</v>
      </c>
      <c r="AH20">
        <v>88</v>
      </c>
      <c r="AI20">
        <v>30</v>
      </c>
      <c r="AJ20">
        <v>40</v>
      </c>
      <c r="AK20">
        <v>3</v>
      </c>
      <c r="AL20">
        <v>58000</v>
      </c>
      <c r="AM20">
        <v>4000</v>
      </c>
      <c r="AN20">
        <v>5</v>
      </c>
      <c r="AO20" t="str">
        <v>Pending</v>
      </c>
      <c r="AP20" t="str">
        <v>No</v>
      </c>
      <c r="AQ20" t="str">
        <v>Low Performance</v>
      </c>
    </row>
    <row r="21" spans="1:43" x14ac:dyDescent="0.2">
      <c r="A21" t="s">
        <v>160</v>
      </c>
      <c r="B21" t="s">
        <v>161</v>
      </c>
      <c r="C21" t="s">
        <v>101</v>
      </c>
      <c r="D21" t="s">
        <v>90</v>
      </c>
      <c r="E21" s="5" t="s">
        <v>162</v>
      </c>
      <c r="F21" s="16">
        <v>46361</v>
      </c>
      <c r="G21" s="5" t="s">
        <v>96</v>
      </c>
      <c r="H21">
        <v>46000</v>
      </c>
      <c r="I21">
        <v>60000</v>
      </c>
      <c r="J21">
        <v>28</v>
      </c>
      <c r="K21">
        <v>97</v>
      </c>
      <c r="L21">
        <v>52</v>
      </c>
      <c r="M21">
        <v>55</v>
      </c>
      <c r="N21">
        <v>5</v>
      </c>
      <c r="O21">
        <v>88000</v>
      </c>
      <c r="P21">
        <v>16000</v>
      </c>
      <c r="Q21">
        <v>1</v>
      </c>
      <c r="R21" t="s">
        <v>69</v>
      </c>
      <c r="S21" t="s">
        <v>70</v>
      </c>
      <c r="T21" t="s">
        <v>163</v>
      </c>
      <c r="X21" t="str">
        <v>E001</v>
      </c>
      <c r="Y21" t="str">
        <v>Aarav Mehta</v>
      </c>
      <c r="Z21" t="str">
        <v>Sales</v>
      </c>
      <c r="AA21" t="str">
        <v>West</v>
      </c>
      <c r="AB21" s="3" t="str">
        <v>1/15/2023</v>
      </c>
      <c r="AC21" s="3" t="str">
        <v>5/25/2026</v>
      </c>
      <c r="AD21" s="3">
        <v>46301</v>
      </c>
      <c r="AE21">
        <v>50000</v>
      </c>
      <c r="AF21">
        <v>62000</v>
      </c>
      <c r="AG21">
        <v>24</v>
      </c>
      <c r="AH21">
        <v>98</v>
      </c>
      <c r="AI21">
        <v>45</v>
      </c>
      <c r="AJ21">
        <v>50</v>
      </c>
      <c r="AK21">
        <v>5</v>
      </c>
      <c r="AL21">
        <v>75000</v>
      </c>
      <c r="AM21">
        <v>12000</v>
      </c>
      <c r="AN21">
        <v>2</v>
      </c>
      <c r="AO21" t="str">
        <v>Completed</v>
      </c>
      <c r="AP21" t="str">
        <v>Yes</v>
      </c>
      <c r="AQ21" t="str">
        <v>Excellent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DAY 1</vt:lpstr>
      <vt:lpstr>DAY 2</vt:lpstr>
      <vt:lpstr>Day 2 condistional formating </vt:lpstr>
      <vt:lpstr>Day 3 condistional formating 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workspandan18@gmail.com</dc:creator>
  <cp:lastModifiedBy>workspandan18@gmail.com</cp:lastModifiedBy>
  <dcterms:created xsi:type="dcterms:W3CDTF">2026-09-28T13:39:28Z</dcterms:created>
  <dcterms:modified xsi:type="dcterms:W3CDTF">2026-09-30T15:28:39Z</dcterms:modified>
</cp:coreProperties>
</file>