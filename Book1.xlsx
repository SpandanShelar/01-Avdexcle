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CE13EF44-C34E-F940-A082-E8EAF5240035}" xr6:coauthVersionLast="47" xr6:coauthVersionMax="47" xr10:uidLastSave="{00000000-0000-0000-0000-000000000000}"/>
  <bookViews>
    <workbookView xWindow="0" yWindow="0" windowWidth="25600" windowHeight="16000" activeTab="4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2" sheetId="5" r:id="rId5"/>
    <sheet name="Sheet1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5" l="1"/>
  <c r="B59" i="5"/>
  <c r="H33" i="5"/>
  <c r="I33" i="5" s="1"/>
  <c r="J27" i="5"/>
  <c r="J55" i="5"/>
  <c r="J28" i="5"/>
  <c r="J34" i="5"/>
  <c r="J46" i="5"/>
  <c r="J43" i="5"/>
  <c r="J54" i="5"/>
  <c r="J30" i="5"/>
  <c r="J47" i="5"/>
  <c r="J44" i="5"/>
  <c r="J51" i="5"/>
  <c r="J41" i="5"/>
  <c r="J31" i="5"/>
  <c r="J36" i="5"/>
  <c r="J29" i="5"/>
  <c r="J48" i="5"/>
  <c r="J40" i="5"/>
  <c r="J35" i="5"/>
  <c r="J33" i="5"/>
  <c r="J45" i="5"/>
  <c r="J39" i="5"/>
  <c r="J52" i="5"/>
  <c r="J53" i="5"/>
  <c r="J50" i="5"/>
  <c r="J32" i="5"/>
  <c r="J38" i="5"/>
  <c r="J49" i="5"/>
  <c r="J37" i="5"/>
  <c r="J42" i="5"/>
  <c r="H27" i="5"/>
  <c r="I27" i="5" s="1"/>
  <c r="H55" i="5"/>
  <c r="I55" i="5" s="1"/>
  <c r="H28" i="5"/>
  <c r="I28" i="5" s="1"/>
  <c r="H34" i="5"/>
  <c r="I34" i="5" s="1"/>
  <c r="H46" i="5"/>
  <c r="I46" i="5" s="1"/>
  <c r="H43" i="5"/>
  <c r="I43" i="5" s="1"/>
  <c r="H54" i="5"/>
  <c r="I54" i="5" s="1"/>
  <c r="H30" i="5"/>
  <c r="I30" i="5" s="1"/>
  <c r="H47" i="5"/>
  <c r="I47" i="5" s="1"/>
  <c r="H44" i="5"/>
  <c r="I44" i="5" s="1"/>
  <c r="H51" i="5"/>
  <c r="I51" i="5" s="1"/>
  <c r="H41" i="5"/>
  <c r="I41" i="5" s="1"/>
  <c r="H31" i="5"/>
  <c r="I31" i="5" s="1"/>
  <c r="H36" i="5"/>
  <c r="I36" i="5" s="1"/>
  <c r="H29" i="5"/>
  <c r="I29" i="5" s="1"/>
  <c r="H48" i="5"/>
  <c r="I48" i="5" s="1"/>
  <c r="H40" i="5"/>
  <c r="I40" i="5" s="1"/>
  <c r="H35" i="5"/>
  <c r="I35" i="5" s="1"/>
  <c r="H45" i="5"/>
  <c r="I45" i="5" s="1"/>
  <c r="H39" i="5"/>
  <c r="I39" i="5" s="1"/>
  <c r="H52" i="5"/>
  <c r="I52" i="5" s="1"/>
  <c r="H53" i="5"/>
  <c r="I53" i="5" s="1"/>
  <c r="H50" i="5"/>
  <c r="I50" i="5" s="1"/>
  <c r="H26" i="5"/>
  <c r="I26" i="5" s="1"/>
  <c r="H32" i="5"/>
  <c r="I32" i="5" s="1"/>
  <c r="H38" i="5"/>
  <c r="I38" i="5" s="1"/>
  <c r="H49" i="5"/>
  <c r="I49" i="5" s="1"/>
  <c r="H37" i="5"/>
  <c r="I37" i="5" s="1"/>
  <c r="H42" i="5"/>
  <c r="I42" i="5" s="1"/>
  <c r="X2" i="5" a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L27" i="5" l="1"/>
  <c r="K27" i="5" a="1"/>
  <c r="L55" i="5"/>
  <c r="K55" i="5" a="1"/>
  <c r="L28" i="5"/>
  <c r="K28" i="5" a="1"/>
  <c r="L34" i="5"/>
  <c r="K34" i="5" a="1"/>
  <c r="L46" i="5"/>
  <c r="K46" i="5" a="1"/>
  <c r="L43" i="5"/>
  <c r="K43" i="5" a="1"/>
  <c r="L54" i="5"/>
  <c r="K54" i="5" a="1"/>
  <c r="L30" i="5"/>
  <c r="K30" i="5" a="1"/>
  <c r="K47" i="5" a="1"/>
  <c r="L47" i="5"/>
  <c r="L44" i="5"/>
  <c r="K44" i="5" a="1"/>
  <c r="K51" i="5" a="1"/>
  <c r="L51" i="5"/>
  <c r="L41" i="5"/>
  <c r="K41" i="5" a="1"/>
  <c r="L31" i="5"/>
  <c r="K31" i="5" a="1"/>
  <c r="L36" i="5"/>
  <c r="K36" i="5" a="1"/>
  <c r="L29" i="5"/>
  <c r="K29" i="5" a="1"/>
  <c r="L48" i="5"/>
  <c r="K48" i="5" a="1"/>
  <c r="L40" i="5"/>
  <c r="K40" i="5" a="1"/>
  <c r="K35" i="5" a="1"/>
  <c r="L35" i="5"/>
  <c r="L45" i="5"/>
  <c r="K45" i="5" a="1"/>
  <c r="L39" i="5"/>
  <c r="K39" i="5" a="1"/>
  <c r="L52" i="5"/>
  <c r="K52" i="5" a="1"/>
  <c r="L53" i="5"/>
  <c r="K53" i="5" a="1"/>
  <c r="L50" i="5"/>
  <c r="K50" i="5" a="1"/>
  <c r="L32" i="5"/>
  <c r="K32" i="5" a="1"/>
  <c r="L38" i="5"/>
  <c r="K38" i="5" a="1"/>
  <c r="L49" i="5"/>
  <c r="K49" i="5" a="1"/>
  <c r="L37" i="5"/>
  <c r="K37" i="5" a="1"/>
  <c r="I62" i="5"/>
  <c r="K42" i="5" a="1"/>
  <c r="L42" i="5"/>
  <c r="I60" i="5"/>
  <c r="I58" i="5"/>
  <c r="L26" i="5"/>
  <c r="K26" i="5" a="1"/>
  <c r="L33" i="5"/>
  <c r="K33" i="5" a="1"/>
  <c r="J6" i="2"/>
  <c r="M6" i="2"/>
  <c r="J5" i="2"/>
  <c r="M5" i="2"/>
  <c r="J4" i="2"/>
  <c r="M4" i="2"/>
  <c r="M3" i="2"/>
  <c r="J3" i="2"/>
  <c r="O28" i="5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<sst xmlns="http://schemas.openxmlformats.org/spreadsheetml/2006/main" count="764" uniqueCount="244">
  <si>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</si>
  <si>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</si>
  <si>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</si>
  <si>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</si>
  <si>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</si>
  <si>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</si>
  <si>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</si>
  <si>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</si>
  <si>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</si>
  <si>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</si>
  <si>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</si>
  <si>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</si>
  <si>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</si>
  <si>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</si>
  <si>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</si>
  <si>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</si>
  <si>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</si>
  <si>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</si>
  <si>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</si>
  <si>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</si>
  <si>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</si>
  <si>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</si>
  <si>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</si>
  <si>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</si>
  <si>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</si>
  <si>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</si>
  <si>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</si>
  <si>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</si>
  <si>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</si>
  <si>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</si>
  <si>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</si>
  <si>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</si>
  <si>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</si>
  <si>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</si>
  <si>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</si>
  <si>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</si>
  <si>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</si>
  <si>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</si>
  <si>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</si>
  <si>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</si>
  <si>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</si>
  <si>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</si>
  <si>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</si>
  <si>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</si>
  <si>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</si>
  <si>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</si>
  <si>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</si>
  <si>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</si>
  <si>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</si>
  <si>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</si>
  <si>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</si>
  <si>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</si>
  <si>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</si>
  <si>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</si>
  <si>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</si>
  <si>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</si>
  <si>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</si>
  <si>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</si>
  <si>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</si>
  <si>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</si>
  <si>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</si>
  <si>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</si>
  <si>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</si>
  <si>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</si>
  <si>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</si>
  <si>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</si>
  <si>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</si>
  <si>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</si>
  <si>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</si>
  <si>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</si>
  <si>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</si>
  <si>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</si>
  <si>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</si>
  <si>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</si>
  <si>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</si>
  <si>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</si>
  <si>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</si>
  <si>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</si>
  <si>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</si>
  <si>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</si>
  <si>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</si>
  <si>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</si>
  <si>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</si>
  <si>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</si>
  <si>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</si>
  <si>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</si>
  <si>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</si>
  <si>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</si>
  <si>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</si>
  <si>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</si>
  <si>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</si>
  <si>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</si>
  <si>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</si>
  <si>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</si>
  <si>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</si>
  <si>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</si>
  <si>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</si>
  <si>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</si>
  <si>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</si>
  <si>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</si>
  <si>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</si>
  <si>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</si>
  <si>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</si>
  <si>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</si>
  <si>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</si>
  <si>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</si>
  <si>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</si>
  <si>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</si>
  <si>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</si>
  <si>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</si>
  <si>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</si>
  <si>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</si>
  <si>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</si>
  <si>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</si>
  <si>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</si>
  <si>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</si>
  <si>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</si>
  <si>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</si>
  <si>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</si>
  <si>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</si>
  <si>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</si>
  <si>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</si>
  <si>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</si>
  <si>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</si>
  <si>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</si>
  <si>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</si>
  <si>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</si>
  <si>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</si>
  <si>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</si>
  <si>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</si>
  <si>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</si>
  <si>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</si>
  <si>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</si>
  <si>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</si>
  <si>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</si>
  <si>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</si>
  <si>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</si>
  <si>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</si>
  <si>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</si>
  <si>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</si>
  <si>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</si>
  <si>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</si>
  <si>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</si>
  <si>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</si>
  <si>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</si>
  <si>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</si>
  <si>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</si>
  <si>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</si>
  <si>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</si>
  <si>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</si>
  <si>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</si>
  <si>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</si>
  <si>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</si>
  <si>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</si>
  <si>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</si>
  <si>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</si>
  <si>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</si>
  <si>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</si>
  <si>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</si>
  <si>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</si>
  <si>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</si>
  <si>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</si>
  <si>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</si>
  <si>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</si>
  <si>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</si>
  <si>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</si>
  <si>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</si>
  <si>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</si>
  <si>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</si>
  <si>
    <t>Student ID</t>
  </si>
  <si>
    <t>Student Name</t>
  </si>
  <si>
    <t>Accountancy</t>
  </si>
  <si>
    <t>Business Law</t>
  </si>
  <si>
    <t>Economics</t>
  </si>
  <si>
    <t>Computer</t>
  </si>
  <si>
    <t>Total</t>
  </si>
  <si>
    <t>Percentage</t>
  </si>
  <si>
    <t>Grade</t>
  </si>
  <si>
    <t>Scholarship</t>
  </si>
  <si>
    <t>Grade (IFS)</t>
  </si>
  <si>
    <t>Scholarship Status</t>
  </si>
  <si>
    <t>Aarav Sharma</t>
  </si>
  <si>
    <t>Aditya Patil</t>
  </si>
  <si>
    <t>Akash Verma</t>
  </si>
  <si>
    <t>Ananya Deshmukh</t>
  </si>
  <si>
    <t>Aryan Kulkarni</t>
  </si>
  <si>
    <t>Aditi Joshi</t>
  </si>
  <si>
    <t>Atharv More</t>
  </si>
  <si>
    <t>Diya Shah</t>
  </si>
  <si>
    <t>Dhruv Mehta</t>
  </si>
  <si>
    <t>Ishita Singh</t>
  </si>
  <si>
    <t>Kabir Chavan</t>
  </si>
  <si>
    <t>Kavya Patil</t>
  </si>
  <si>
    <t>Krish Shah</t>
  </si>
  <si>
    <t>Manya Gupta</t>
  </si>
  <si>
    <t>Manav Joshi</t>
  </si>
  <si>
    <t>Meera Kulkarni</t>
  </si>
  <si>
    <t>Nikhil Deshmukh</t>
  </si>
  <si>
    <t>Omkar Jadhav</t>
  </si>
  <si>
    <t>Pranav More</t>
  </si>
  <si>
    <t>Riya Shah</t>
  </si>
  <si>
    <t>Rohan Patil</t>
  </si>
  <si>
    <t>Sakshi Kulkarni</t>
  </si>
  <si>
    <t>Samarth Joshi</t>
  </si>
  <si>
    <t>Shreya Deshmukh</t>
  </si>
  <si>
    <t>Siddharth Mehta</t>
  </si>
  <si>
    <t>Sneha Patil</t>
  </si>
  <si>
    <t>Tanvi Sharma</t>
  </si>
  <si>
    <t>Vedant Chavan</t>
  </si>
  <si>
    <t>Yash Kulkarni</t>
  </si>
  <si>
    <t>STU001</t>
  </si>
  <si>
    <t>STU002</t>
  </si>
  <si>
    <t>STU003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</si>
  <si>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</si>
  <si>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</si>
  <si>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</si>
  <si>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</si>
  <si>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</si>
  <si>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</si>
  <si>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</si>
  <si>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</si>
  <si>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</si>
  <si>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</si>
  <si>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</si>
  <si>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</si>
  <si>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</si>
  <si>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</si>
  <si>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</si>
  <si>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</si>
  <si>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</si>
  <si>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</si>
  <si>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</si>
  <si>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</si>
  <si>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</si>
  <si>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</si>
  <si>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</si>
  <si>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</si>
  <si>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</si>
  <si>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</si>
  <si>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</si>
  <si>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AVERAGE</t>
  </si>
  <si>
    <t>HIGHEST %</t>
  </si>
  <si>
    <t>LOWEST %</t>
  </si>
  <si>
    <t>TOTAL STUDENTS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</si>
</sst>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46"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25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138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31" priority="8" timePeriod="yesterday">
      <formula>FLOOR(F2,1)=TODAY()-1</formula>
    </cfRule>
    <cfRule type="timePeriod" dxfId="30" priority="11" timePeriod="yesterday">
      <formula>FLOOR(F2,1)=TODAY()-1</formula>
    </cfRule>
  </conditionalFormatting>
  <conditionalFormatting sqref="I2:I21">
    <cfRule type="top10" dxfId="29" priority="6" rank="3"/>
  </conditionalFormatting>
  <conditionalFormatting sqref="J2:J21">
    <cfRule type="top10" dxfId="28" priority="4" bottom="1" rank="6"/>
  </conditionalFormatting>
  <conditionalFormatting sqref="K2:K21">
    <cfRule type="top10" dxfId="27" priority="3" percent="1" bottom="1" rank="20"/>
    <cfRule type="top10" dxfId="26" priority="5" percent="1" rank="20"/>
  </conditionalFormatting>
  <conditionalFormatting sqref="N2:N21">
    <cfRule type="cellIs" dxfId="25" priority="13" operator="equal">
      <formula>5</formula>
    </cfRule>
  </conditionalFormatting>
  <conditionalFormatting sqref="P2:P21">
    <cfRule type="aboveAverage" dxfId="24" priority="1" aboveAverage="0"/>
    <cfRule type="aboveAverage" dxfId="23" priority="2"/>
  </conditionalFormatting>
  <conditionalFormatting sqref="Q2:Q21">
    <cfRule type="cellIs" dxfId="22" priority="14" operator="between">
      <formula>5</formula>
      <formula>14</formula>
    </cfRule>
    <cfRule type="cellIs" dxfId="21" priority="15" operator="lessThan">
      <formula>5</formula>
    </cfRule>
    <cfRule type="cellIs" dxfId="20" priority="16" operator="greaterThan">
      <formula>14</formula>
    </cfRule>
  </conditionalFormatting>
  <conditionalFormatting sqref="S2:S21">
    <cfRule type="containsText" dxfId="19" priority="12" operator="containsText" text="NO">
      <formula>NOT(ISERROR(SEARCH("NO",S2)))</formula>
    </cfRule>
  </conditionalFormatting>
  <conditionalFormatting sqref="T2:T21">
    <cfRule type="duplicateValues" dxfId="18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139" workbookViewId="0">
      <selection activeCell="C20" sqref="C20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45"/>
    <sortCondition descending="1" sortBy="cellColor" ref="D2:D21" dxfId="44"/>
    <sortCondition sortBy="fontColor" ref="C2:C21" dxfId="43"/>
    <sortCondition descending="1" sortBy="fontColor" ref="C2:C21" dxfId="42"/>
  </sortState>
  <conditionalFormatting sqref="A2:T21">
    <cfRule type="expression" dxfId="17" priority="3">
      <formula>$D2="North"</formula>
    </cfRule>
  </conditionalFormatting>
  <conditionalFormatting sqref="F2:F21">
    <cfRule type="timePeriod" dxfId="16" priority="12" timePeriod="yesterday">
      <formula>FLOOR(F2,1)=TODAY()-1</formula>
    </cfRule>
    <cfRule type="timePeriod" dxfId="15" priority="13" timePeriod="yesterday">
      <formula>FLOOR(F2,1)=TODAY()-1</formula>
    </cfRule>
  </conditionalFormatting>
  <conditionalFormatting sqref="I2:I21">
    <cfRule type="top10" dxfId="14" priority="10" rank="3"/>
  </conditionalFormatting>
  <conditionalFormatting sqref="J2:J21">
    <cfRule type="top10" dxfId="13" priority="8" bottom="1" rank="6"/>
  </conditionalFormatting>
  <conditionalFormatting sqref="K2:K21">
    <cfRule type="top10" dxfId="12" priority="7" percent="1" bottom="1" rank="20"/>
    <cfRule type="top10" dxfId="11" priority="9" percent="1" rank="20"/>
  </conditionalFormatting>
  <conditionalFormatting sqref="N2:N2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  <cfRule type="cellIs" dxfId="10" priority="15" operator="equal">
      <formula>5</formula>
    </cfRule>
  </conditionalFormatting>
  <conditionalFormatting sqref="P2:P21">
    <cfRule type="aboveAverage" dxfId="9" priority="5" aboveAverage="0"/>
    <cfRule type="aboveAverage" dxfId="8" priority="6"/>
  </conditionalFormatting>
  <conditionalFormatting sqref="Q2:Q21">
    <cfRule type="cellIs" dxfId="7" priority="16" operator="between">
      <formula>5</formula>
      <formula>14</formula>
    </cfRule>
    <cfRule type="cellIs" dxfId="6" priority="17" operator="lessThan">
      <formula>5</formula>
    </cfRule>
    <cfRule type="cellIs" dxfId="5" priority="18" operator="greaterThan">
      <formula>14</formula>
    </cfRule>
  </conditionalFormatting>
  <conditionalFormatting sqref="S2:S21">
    <cfRule type="containsText" dxfId="4" priority="14" operator="containsText" text="NO">
      <formula>NOT(ISERROR(SEARCH("NO",S2)))</formula>
    </cfRule>
  </conditionalFormatting>
  <conditionalFormatting sqref="T2:T21">
    <cfRule type="duplicateValues" dxfId="3" priority="1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Q68"/>
  <sheetViews>
    <sheetView tabSelected="1" topLeftCell="B10" zoomScale="84" zoomScaleNormal="83" workbookViewId="0">
      <selection activeCell="K27" sqref="K27"/>
    </sheetView>
  </sheetViews>
  <sheetFormatPr baseColWidth="10" defaultRowHeight="16" x14ac:dyDescent="0.2"/>
  <cols>
    <col min="2" max="2" width="16.33203125" bestFit="1" customWidth="1"/>
    <col min="3" max="3" width="11.83203125" bestFit="1" customWidth="1"/>
    <col min="5" max="7" width="10.83203125" style="5"/>
    <col min="12" max="12" width="15.33203125" bestFit="1" customWidth="1"/>
    <col min="14" max="14" width="17.6640625" bestFit="1" customWidth="1"/>
    <col min="20" max="20" width="15" bestFit="1" customWidth="1"/>
    <col min="24" max="24" width="11.6640625" bestFit="1" customWidth="1"/>
    <col min="25" max="25" width="14.6640625" bestFit="1" customWidth="1"/>
    <col min="26" max="26" width="11" bestFit="1" customWidth="1"/>
    <col min="28" max="29" width="10.83203125" style="3"/>
    <col min="30" max="30" width="15.1640625" style="3" bestFit="1" customWidth="1"/>
  </cols>
  <sheetData>
    <row r="1" spans="1:43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X1" t="s">
        <v>44</v>
      </c>
      <c r="Y1" t="s">
        <v>45</v>
      </c>
      <c r="Z1" t="s">
        <v>46</v>
      </c>
      <c r="AA1" t="s">
        <v>47</v>
      </c>
      <c r="AB1" s="5" t="s">
        <v>48</v>
      </c>
      <c r="AC1" s="5" t="s">
        <v>49</v>
      </c>
      <c r="AD1" s="5" t="s">
        <v>50</v>
      </c>
      <c r="AE1" t="s">
        <v>51</v>
      </c>
      <c r="AF1" t="s">
        <v>52</v>
      </c>
      <c r="AG1" t="s">
        <v>53</v>
      </c>
      <c r="AH1" t="s">
        <v>54</v>
      </c>
      <c r="AI1" t="s">
        <v>55</v>
      </c>
      <c r="AJ1" t="s">
        <v>56</v>
      </c>
      <c r="AK1" t="s">
        <v>57</v>
      </c>
      <c r="AL1" t="s">
        <v>58</v>
      </c>
      <c r="AM1" t="s">
        <v>59</v>
      </c>
      <c r="AN1" t="s">
        <v>60</v>
      </c>
      <c r="AO1" t="s">
        <v>61</v>
      </c>
      <c r="AP1" t="s">
        <v>62</v>
      </c>
      <c r="AQ1" t="s">
        <v>63</v>
      </c>
    </row>
    <row r="2" spans="1:43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W2">
        <v>15</v>
      </c>
      <c r="X2" t="str" cm="1">
        <f t="array" ref="X2:AQ21">_xlfn._xlws.SORT(A2:T21,W2,W3)</f>
        <v>E012</v>
      </c>
      <c r="Y2" t="str">
        <v>Sneha Kulkarni</v>
      </c>
      <c r="Z2" t="str">
        <v>IT</v>
      </c>
      <c r="AA2" t="str">
        <v>East</v>
      </c>
      <c r="AB2" s="3" t="str">
        <v>10/19/2020</v>
      </c>
      <c r="AC2" s="3" t="str">
        <v>5/24/2026</v>
      </c>
      <c r="AD2" s="3" t="str">
        <v>6/20/2026</v>
      </c>
      <c r="AE2">
        <v>85000</v>
      </c>
      <c r="AF2">
        <v>99000</v>
      </c>
      <c r="AG2">
        <v>40</v>
      </c>
      <c r="AH2">
        <v>99</v>
      </c>
      <c r="AI2">
        <v>75</v>
      </c>
      <c r="AJ2">
        <v>80</v>
      </c>
      <c r="AK2">
        <v>5</v>
      </c>
      <c r="AL2">
        <v>125000</v>
      </c>
      <c r="AM2">
        <v>30000</v>
      </c>
      <c r="AN2">
        <v>0</v>
      </c>
      <c r="AO2" t="str">
        <v>Completed</v>
      </c>
      <c r="AP2" t="str">
        <v>Yes</v>
      </c>
      <c r="AQ2" t="str">
        <v>Best Employee</v>
      </c>
    </row>
    <row r="3" spans="1:43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W3">
        <v>-1</v>
      </c>
      <c r="X3" t="str">
        <v>E007</v>
      </c>
      <c r="Y3" t="str">
        <v>Vikram Singh</v>
      </c>
      <c r="Z3" t="str">
        <v>IT</v>
      </c>
      <c r="AA3" t="str">
        <v>South</v>
      </c>
      <c r="AB3" s="3" t="str">
        <v>3/18/2022</v>
      </c>
      <c r="AC3" s="3" t="str">
        <v>5/26/2026</v>
      </c>
      <c r="AD3" s="3">
        <v>46148</v>
      </c>
      <c r="AE3">
        <v>72000</v>
      </c>
      <c r="AF3">
        <v>92000</v>
      </c>
      <c r="AG3">
        <v>35</v>
      </c>
      <c r="AH3">
        <v>96</v>
      </c>
      <c r="AI3">
        <v>66</v>
      </c>
      <c r="AJ3">
        <v>70</v>
      </c>
      <c r="AK3">
        <v>5</v>
      </c>
      <c r="AL3">
        <v>110000</v>
      </c>
      <c r="AM3">
        <v>25000</v>
      </c>
      <c r="AN3">
        <v>1</v>
      </c>
      <c r="AO3" t="str">
        <v>Completed</v>
      </c>
      <c r="AP3" t="str">
        <v>Yes</v>
      </c>
      <c r="AQ3" t="str">
        <v>Outstanding</v>
      </c>
    </row>
    <row r="4" spans="1:43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X4" t="str">
        <v>E016</v>
      </c>
      <c r="Y4" t="str">
        <v>Isha Banerjee</v>
      </c>
      <c r="Z4" t="str">
        <v>IT</v>
      </c>
      <c r="AA4" t="str">
        <v>East</v>
      </c>
      <c r="AB4" s="3">
        <v>44511</v>
      </c>
      <c r="AC4" s="3" t="str">
        <v>5/27/2026</v>
      </c>
      <c r="AD4" s="3">
        <v>46240</v>
      </c>
      <c r="AE4">
        <v>78000</v>
      </c>
      <c r="AF4">
        <v>80000</v>
      </c>
      <c r="AG4">
        <v>18</v>
      </c>
      <c r="AH4">
        <v>93</v>
      </c>
      <c r="AI4">
        <v>58</v>
      </c>
      <c r="AJ4">
        <v>60</v>
      </c>
      <c r="AK4">
        <v>4</v>
      </c>
      <c r="AL4">
        <v>102000</v>
      </c>
      <c r="AM4">
        <v>14000</v>
      </c>
      <c r="AN4">
        <v>2</v>
      </c>
      <c r="AO4" t="str">
        <v>Completed</v>
      </c>
      <c r="AP4" t="str">
        <v>Yes</v>
      </c>
      <c r="AQ4" t="str">
        <v>Very Good</v>
      </c>
    </row>
    <row r="5" spans="1:43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X5" t="str">
        <v>E003</v>
      </c>
      <c r="Y5" t="str">
        <v>Rohan Iyer</v>
      </c>
      <c r="Z5" t="str">
        <v>IT</v>
      </c>
      <c r="AA5" t="str">
        <v>South</v>
      </c>
      <c r="AB5" s="3" t="str">
        <v>7/21/2021</v>
      </c>
      <c r="AC5" s="3">
        <v>46027</v>
      </c>
      <c r="AD5" s="3" t="str">
        <v>5/30/2026</v>
      </c>
      <c r="AE5">
        <v>70000</v>
      </c>
      <c r="AF5">
        <v>81000</v>
      </c>
      <c r="AG5">
        <v>30</v>
      </c>
      <c r="AH5">
        <v>73</v>
      </c>
      <c r="AI5">
        <v>60</v>
      </c>
      <c r="AJ5">
        <v>65</v>
      </c>
      <c r="AK5">
        <v>5</v>
      </c>
      <c r="AL5">
        <v>98000</v>
      </c>
      <c r="AM5">
        <v>18000</v>
      </c>
      <c r="AN5">
        <v>1</v>
      </c>
      <c r="AO5" t="str">
        <v>Completed</v>
      </c>
      <c r="AP5" t="str">
        <v>Yes</v>
      </c>
      <c r="AQ5" t="str">
        <v>Top Performer</v>
      </c>
    </row>
    <row r="6" spans="1:43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tr">
        <v>E020</v>
      </c>
      <c r="Y6" t="str">
        <v>Ritika Sen</v>
      </c>
      <c r="Z6" t="str">
        <v>Marketing</v>
      </c>
      <c r="AA6" t="str">
        <v>East</v>
      </c>
      <c r="AB6" s="3" t="str">
        <v>1/26/2022</v>
      </c>
      <c r="AC6" s="3">
        <v>46361</v>
      </c>
      <c r="AD6" s="3" t="str">
        <v>5/27/2026</v>
      </c>
      <c r="AE6">
        <v>46000</v>
      </c>
      <c r="AF6">
        <v>60000</v>
      </c>
      <c r="AG6">
        <v>28</v>
      </c>
      <c r="AH6">
        <v>97</v>
      </c>
      <c r="AI6">
        <v>52</v>
      </c>
      <c r="AJ6">
        <v>55</v>
      </c>
      <c r="AK6">
        <v>5</v>
      </c>
      <c r="AL6">
        <v>88000</v>
      </c>
      <c r="AM6">
        <v>16000</v>
      </c>
      <c r="AN6">
        <v>1</v>
      </c>
      <c r="AO6" t="str">
        <v>Completed</v>
      </c>
      <c r="AP6" t="str">
        <v>Yes</v>
      </c>
      <c r="AQ6" t="str">
        <v>Star Performer</v>
      </c>
    </row>
    <row r="7" spans="1:43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X7" t="str">
        <v>E017</v>
      </c>
      <c r="Y7" t="str">
        <v>Dev Khanna</v>
      </c>
      <c r="Z7" t="str">
        <v>Sales</v>
      </c>
      <c r="AA7" t="str">
        <v>North</v>
      </c>
      <c r="AB7" s="3">
        <v>44050</v>
      </c>
      <c r="AC7" s="3" t="str">
        <v>5/15/2026</v>
      </c>
      <c r="AD7" s="3">
        <v>46059</v>
      </c>
      <c r="AE7">
        <v>61000</v>
      </c>
      <c r="AF7">
        <v>61000</v>
      </c>
      <c r="AG7">
        <v>10</v>
      </c>
      <c r="AH7">
        <v>89</v>
      </c>
      <c r="AI7">
        <v>40</v>
      </c>
      <c r="AJ7">
        <v>45</v>
      </c>
      <c r="AK7">
        <v>4</v>
      </c>
      <c r="AL7">
        <v>86000</v>
      </c>
      <c r="AM7">
        <v>11000</v>
      </c>
      <c r="AN7">
        <v>4</v>
      </c>
      <c r="AO7" t="str">
        <v>Completed</v>
      </c>
      <c r="AP7" t="str">
        <v>Yes</v>
      </c>
      <c r="AQ7" t="str">
        <v>Target Met</v>
      </c>
    </row>
    <row r="8" spans="1:43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tr">
        <v>E005</v>
      </c>
      <c r="Y8" t="str">
        <v>Aditya Rao</v>
      </c>
      <c r="Z8" t="str">
        <v>Sales</v>
      </c>
      <c r="AA8" t="str">
        <v>West</v>
      </c>
      <c r="AB8" s="3">
        <v>43842</v>
      </c>
      <c r="AC8" s="3" t="str">
        <v>5/27/2026</v>
      </c>
      <c r="AD8" s="3" t="str">
        <v>5/29/2026</v>
      </c>
      <c r="AE8">
        <v>55000</v>
      </c>
      <c r="AF8">
        <v>55000</v>
      </c>
      <c r="AG8">
        <v>15</v>
      </c>
      <c r="AH8">
        <v>100</v>
      </c>
      <c r="AI8">
        <v>50</v>
      </c>
      <c r="AJ8">
        <v>50</v>
      </c>
      <c r="AK8">
        <v>4</v>
      </c>
      <c r="AL8">
        <v>82000</v>
      </c>
      <c r="AM8">
        <v>10000</v>
      </c>
      <c r="AN8">
        <v>0</v>
      </c>
      <c r="AO8" t="str">
        <v>Completed</v>
      </c>
      <c r="AP8" t="str">
        <v>Yes</v>
      </c>
      <c r="AQ8" t="str">
        <v>Duplicate ID</v>
      </c>
    </row>
    <row r="9" spans="1:43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X9" t="str">
        <v>E001</v>
      </c>
      <c r="Y9" t="str">
        <v>Aarav Mehta</v>
      </c>
      <c r="Z9" t="str">
        <v>Sales</v>
      </c>
      <c r="AA9" t="str">
        <v>West</v>
      </c>
      <c r="AB9" s="3" t="str">
        <v>1/15/2023</v>
      </c>
      <c r="AC9" s="3" t="str">
        <v>5/25/2026</v>
      </c>
      <c r="AD9" s="3">
        <v>46301</v>
      </c>
      <c r="AE9">
        <v>50000</v>
      </c>
      <c r="AF9">
        <v>62000</v>
      </c>
      <c r="AG9">
        <v>24</v>
      </c>
      <c r="AH9">
        <v>98</v>
      </c>
      <c r="AI9">
        <v>45</v>
      </c>
      <c r="AJ9">
        <v>50</v>
      </c>
      <c r="AK9">
        <v>5</v>
      </c>
      <c r="AL9">
        <v>75000</v>
      </c>
      <c r="AM9">
        <v>12000</v>
      </c>
      <c r="AN9">
        <v>2</v>
      </c>
      <c r="AO9" t="str">
        <v>Completed</v>
      </c>
      <c r="AP9" t="str">
        <v>Yes</v>
      </c>
      <c r="AQ9" t="str">
        <v>Excellent</v>
      </c>
    </row>
    <row r="10" spans="1:43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X10" t="str">
        <v>E010</v>
      </c>
      <c r="Y10" t="str">
        <v>Simran Kaur</v>
      </c>
      <c r="Z10" t="str">
        <v>Marketing</v>
      </c>
      <c r="AA10" t="str">
        <v>West</v>
      </c>
      <c r="AB10" s="3" t="str">
        <v>6/30/2022</v>
      </c>
      <c r="AC10" s="3">
        <v>46086</v>
      </c>
      <c r="AD10" s="3" t="str">
        <v>5/31/2026</v>
      </c>
      <c r="AE10">
        <v>48000</v>
      </c>
      <c r="AF10">
        <v>51000</v>
      </c>
      <c r="AG10">
        <v>12</v>
      </c>
      <c r="AH10">
        <v>94</v>
      </c>
      <c r="AI10">
        <v>41</v>
      </c>
      <c r="AJ10">
        <v>45</v>
      </c>
      <c r="AK10">
        <v>4</v>
      </c>
      <c r="AL10">
        <v>72000</v>
      </c>
      <c r="AM10">
        <v>8500</v>
      </c>
      <c r="AN10">
        <v>2</v>
      </c>
      <c r="AO10" t="str">
        <v>Completed</v>
      </c>
      <c r="AP10" t="str">
        <v>Yes</v>
      </c>
      <c r="AQ10" t="str">
        <v>Consistent</v>
      </c>
    </row>
    <row r="11" spans="1:43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X11" t="str">
        <v>E014</v>
      </c>
      <c r="Y11" t="str">
        <v>Pooja Reddy</v>
      </c>
      <c r="Z11" t="str">
        <v>HR</v>
      </c>
      <c r="AA11" t="str">
        <v>South</v>
      </c>
      <c r="AB11" s="3" t="str">
        <v>9/27/2022</v>
      </c>
      <c r="AC11" s="3" t="str">
        <v>5/14/2026</v>
      </c>
      <c r="AD11" s="3" t="str">
        <v>6/18/2026</v>
      </c>
      <c r="AE11">
        <v>36000</v>
      </c>
      <c r="AF11">
        <v>47000</v>
      </c>
      <c r="AG11">
        <v>22</v>
      </c>
      <c r="AH11">
        <v>96</v>
      </c>
      <c r="AI11">
        <v>44</v>
      </c>
      <c r="AJ11">
        <v>48</v>
      </c>
      <c r="AK11">
        <v>5</v>
      </c>
      <c r="AL11">
        <v>71000</v>
      </c>
      <c r="AM11">
        <v>9500</v>
      </c>
      <c r="AN11">
        <v>1</v>
      </c>
      <c r="AO11" t="str">
        <v>Completed</v>
      </c>
      <c r="AP11" t="str">
        <v>Yes</v>
      </c>
      <c r="AQ11" t="str">
        <v>Excellent</v>
      </c>
    </row>
    <row r="12" spans="1:43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X12" t="str">
        <v>E011</v>
      </c>
      <c r="Y12" t="str">
        <v>Arjun Verma</v>
      </c>
      <c r="Z12" t="str">
        <v>Sales</v>
      </c>
      <c r="AA12" t="str">
        <v>South</v>
      </c>
      <c r="AB12" s="3">
        <v>45264</v>
      </c>
      <c r="AC12" s="3">
        <v>46239</v>
      </c>
      <c r="AD12" s="3">
        <v>46087</v>
      </c>
      <c r="AE12">
        <v>53000</v>
      </c>
      <c r="AF12">
        <v>49000</v>
      </c>
      <c r="AG12">
        <v>-4</v>
      </c>
      <c r="AH12">
        <v>73</v>
      </c>
      <c r="AI12">
        <v>20</v>
      </c>
      <c r="AJ12">
        <v>35</v>
      </c>
      <c r="AK12">
        <v>2</v>
      </c>
      <c r="AL12">
        <v>69000</v>
      </c>
      <c r="AM12">
        <v>1500</v>
      </c>
      <c r="AN12">
        <v>10</v>
      </c>
      <c r="AO12" t="str">
        <v>Pending</v>
      </c>
      <c r="AP12" t="str">
        <v>No</v>
      </c>
      <c r="AQ12" t="str">
        <v>Low Attendance</v>
      </c>
    </row>
    <row r="13" spans="1:43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X13" t="str">
        <v>E004</v>
      </c>
      <c r="Y13" t="str">
        <v>Priya Nair</v>
      </c>
      <c r="Z13" t="str">
        <v>Finance</v>
      </c>
      <c r="AA13" t="str">
        <v>East</v>
      </c>
      <c r="AB13" s="3">
        <v>45598</v>
      </c>
      <c r="AC13" s="3" t="str">
        <v>4/20/2026</v>
      </c>
      <c r="AD13" s="3">
        <v>46028</v>
      </c>
      <c r="AE13">
        <v>45000</v>
      </c>
      <c r="AF13">
        <v>43000</v>
      </c>
      <c r="AG13">
        <v>-2</v>
      </c>
      <c r="AH13">
        <v>76</v>
      </c>
      <c r="AI13">
        <v>25</v>
      </c>
      <c r="AJ13">
        <v>45</v>
      </c>
      <c r="AK13">
        <v>2</v>
      </c>
      <c r="AL13">
        <v>67000</v>
      </c>
      <c r="AM13">
        <v>2000</v>
      </c>
      <c r="AN13">
        <v>8</v>
      </c>
      <c r="AO13" t="str">
        <v>Delayed</v>
      </c>
      <c r="AP13" t="str">
        <v>Yes</v>
      </c>
      <c r="AQ13" t="str">
        <v>Consistent</v>
      </c>
    </row>
    <row r="14" spans="1:43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X14" t="str">
        <v>E013</v>
      </c>
      <c r="Y14" t="str">
        <v>Manish Gupta</v>
      </c>
      <c r="Z14" t="str">
        <v>Finance</v>
      </c>
      <c r="AA14" t="str">
        <v>North</v>
      </c>
      <c r="AB14" s="3" t="str">
        <v>5/16/2021</v>
      </c>
      <c r="AC14" s="3">
        <v>46058</v>
      </c>
      <c r="AD14" s="3" t="str">
        <v>5/26/2026</v>
      </c>
      <c r="AE14">
        <v>41000</v>
      </c>
      <c r="AF14">
        <v>39000</v>
      </c>
      <c r="AG14">
        <v>-3</v>
      </c>
      <c r="AH14">
        <v>84</v>
      </c>
      <c r="AI14">
        <v>29</v>
      </c>
      <c r="AJ14">
        <v>38</v>
      </c>
      <c r="AK14">
        <v>3</v>
      </c>
      <c r="AL14">
        <v>64000</v>
      </c>
      <c r="AM14">
        <v>2500</v>
      </c>
      <c r="AN14">
        <v>6</v>
      </c>
      <c r="AO14" t="str">
        <v>Delayed</v>
      </c>
      <c r="AP14" t="str">
        <v>Yes</v>
      </c>
      <c r="AQ14" t="str">
        <v>Average</v>
      </c>
    </row>
    <row r="15" spans="1:43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X15" t="str">
        <v>E019</v>
      </c>
      <c r="Y15" t="str">
        <v>Yash Thakur</v>
      </c>
      <c r="Z15" t="str">
        <v>HR</v>
      </c>
      <c r="AA15" t="str">
        <v>West</v>
      </c>
      <c r="AB15" s="3" t="str">
        <v>2/17/2023</v>
      </c>
      <c r="AC15" s="3" t="str">
        <v>5/21/2026</v>
      </c>
      <c r="AD15" s="3" t="str">
        <v>6/14/2026</v>
      </c>
      <c r="AE15">
        <v>34000</v>
      </c>
      <c r="AF15">
        <v>36000</v>
      </c>
      <c r="AG15">
        <v>8</v>
      </c>
      <c r="AH15">
        <v>92</v>
      </c>
      <c r="AI15">
        <v>39</v>
      </c>
      <c r="AJ15">
        <v>40</v>
      </c>
      <c r="AK15">
        <v>4</v>
      </c>
      <c r="AL15">
        <v>63000</v>
      </c>
      <c r="AM15">
        <v>4200</v>
      </c>
      <c r="AN15">
        <v>2</v>
      </c>
      <c r="AO15" t="str">
        <v>Completed</v>
      </c>
      <c r="AP15" t="str">
        <v>Yes</v>
      </c>
      <c r="AQ15" t="str">
        <v>Stable</v>
      </c>
    </row>
    <row r="16" spans="1:43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X16" t="str">
        <v>E006</v>
      </c>
      <c r="Y16" t="str">
        <v>Kavya Patel</v>
      </c>
      <c r="Z16" t="str">
        <v>Marketing</v>
      </c>
      <c r="AA16" t="str">
        <v>North</v>
      </c>
      <c r="AB16" s="3" t="str">
        <v>9/14/2023</v>
      </c>
      <c r="AC16" s="3" t="str">
        <v>5/23/2026</v>
      </c>
      <c r="AD16" s="3" t="str">
        <v>6/15/2026</v>
      </c>
      <c r="AE16">
        <v>40000</v>
      </c>
      <c r="AF16">
        <v>35000</v>
      </c>
      <c r="AG16">
        <v>-10</v>
      </c>
      <c r="AH16">
        <v>82</v>
      </c>
      <c r="AI16">
        <v>28</v>
      </c>
      <c r="AJ16">
        <v>50</v>
      </c>
      <c r="AK16">
        <v>2</v>
      </c>
      <c r="AL16">
        <v>61000</v>
      </c>
      <c r="AM16">
        <v>1000</v>
      </c>
      <c r="AN16">
        <v>7</v>
      </c>
      <c r="AO16" t="str">
        <v>Pending</v>
      </c>
      <c r="AP16" t="str">
        <v>No</v>
      </c>
      <c r="AQ16" t="str">
        <v>Follow Up</v>
      </c>
    </row>
    <row r="17" spans="1:43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X17" t="str">
        <v>E009</v>
      </c>
      <c r="Y17" t="str">
        <v>Rahul Joshi</v>
      </c>
      <c r="Z17" t="str">
        <v>HR</v>
      </c>
      <c r="AA17" t="str">
        <v>North</v>
      </c>
      <c r="AB17" s="3">
        <v>45536</v>
      </c>
      <c r="AC17" s="3" t="str">
        <v>5/19/2026</v>
      </c>
      <c r="AD17" s="3">
        <v>46362</v>
      </c>
      <c r="AE17">
        <v>31000</v>
      </c>
      <c r="AF17">
        <v>30000</v>
      </c>
      <c r="AG17">
        <v>4</v>
      </c>
      <c r="AH17">
        <v>91</v>
      </c>
      <c r="AI17">
        <v>38</v>
      </c>
      <c r="AJ17">
        <v>42</v>
      </c>
      <c r="AK17">
        <v>4</v>
      </c>
      <c r="AL17">
        <v>60000</v>
      </c>
      <c r="AM17">
        <v>3500</v>
      </c>
      <c r="AN17">
        <v>3</v>
      </c>
      <c r="AO17" t="str">
        <v>Completed</v>
      </c>
      <c r="AP17" t="str">
        <v>Yes</v>
      </c>
      <c r="AQ17" t="str">
        <v>Good</v>
      </c>
    </row>
    <row r="18" spans="1:43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X18" t="str">
        <v>E015</v>
      </c>
      <c r="Y18" t="str">
        <v>Karan Malhotra</v>
      </c>
      <c r="Z18" t="str">
        <v>Marketing</v>
      </c>
      <c r="AA18" t="str">
        <v>West</v>
      </c>
      <c r="AB18" s="3">
        <v>44997</v>
      </c>
      <c r="AC18" s="3" t="str">
        <v>4/29/2026</v>
      </c>
      <c r="AD18" s="3" t="str">
        <v>5/30/2026</v>
      </c>
      <c r="AE18">
        <v>50000</v>
      </c>
      <c r="AF18">
        <v>32000</v>
      </c>
      <c r="AG18">
        <v>-15</v>
      </c>
      <c r="AH18">
        <v>65</v>
      </c>
      <c r="AI18">
        <v>18</v>
      </c>
      <c r="AJ18">
        <v>50</v>
      </c>
      <c r="AK18">
        <v>1</v>
      </c>
      <c r="AL18">
        <v>59000</v>
      </c>
      <c r="AM18">
        <v>500</v>
      </c>
      <c r="AN18">
        <v>15</v>
      </c>
      <c r="AO18" t="str">
        <v>Pending</v>
      </c>
      <c r="AP18" t="str">
        <v>No</v>
      </c>
      <c r="AQ18" t="str">
        <v>Urgent Review</v>
      </c>
    </row>
    <row r="19" spans="1:43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X19" t="str">
        <v>E002</v>
      </c>
      <c r="Y19" t="str">
        <v>Neha Sharma</v>
      </c>
      <c r="Z19" t="str">
        <v>HR</v>
      </c>
      <c r="AA19" t="str">
        <v>North</v>
      </c>
      <c r="AB19" s="3">
        <v>44845</v>
      </c>
      <c r="AC19" s="3">
        <v>46300</v>
      </c>
      <c r="AD19" s="3" t="str">
        <v>5/28/2026</v>
      </c>
      <c r="AE19">
        <v>30000</v>
      </c>
      <c r="AF19">
        <v>28000</v>
      </c>
      <c r="AG19">
        <v>-5</v>
      </c>
      <c r="AH19">
        <v>88</v>
      </c>
      <c r="AI19">
        <v>30</v>
      </c>
      <c r="AJ19">
        <v>40</v>
      </c>
      <c r="AK19">
        <v>3</v>
      </c>
      <c r="AL19">
        <v>58000</v>
      </c>
      <c r="AM19">
        <v>4000</v>
      </c>
      <c r="AN19">
        <v>5</v>
      </c>
      <c r="AO19" t="str">
        <v>Pending</v>
      </c>
      <c r="AP19" t="str">
        <v>No</v>
      </c>
      <c r="AQ19" t="str">
        <v>Low Performance</v>
      </c>
    </row>
    <row r="20" spans="1:43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X20" t="str">
        <v>E008</v>
      </c>
      <c r="Y20" t="str">
        <v>Ananya Das</v>
      </c>
      <c r="Z20" t="str">
        <v>Finance</v>
      </c>
      <c r="AA20" t="str">
        <v>East</v>
      </c>
      <c r="AB20" s="3" t="str">
        <v>8/25/2021</v>
      </c>
      <c r="AC20" s="3">
        <v>46331</v>
      </c>
      <c r="AD20" s="3" t="str">
        <v>5/27/2026</v>
      </c>
      <c r="AE20">
        <v>38000</v>
      </c>
      <c r="AF20">
        <v>22000</v>
      </c>
      <c r="AG20">
        <v>-18</v>
      </c>
      <c r="AH20">
        <v>68</v>
      </c>
      <c r="AI20">
        <v>15</v>
      </c>
      <c r="AJ20">
        <v>40</v>
      </c>
      <c r="AK20">
        <v>1</v>
      </c>
      <c r="AL20">
        <v>54000</v>
      </c>
      <c r="AM20">
        <v>0</v>
      </c>
      <c r="AN20">
        <v>12</v>
      </c>
      <c r="AO20" t="str">
        <v>Delayed</v>
      </c>
      <c r="AP20" t="str">
        <v>No</v>
      </c>
      <c r="AQ20" t="str">
        <v>Critical</v>
      </c>
    </row>
    <row r="21" spans="1:43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X21" t="str">
        <v>E018</v>
      </c>
      <c r="Y21" t="str">
        <v>Meera Pillai</v>
      </c>
      <c r="Z21" t="str">
        <v>Finance</v>
      </c>
      <c r="AA21" t="str">
        <v>South</v>
      </c>
      <c r="AB21" s="3" t="str">
        <v>3/20/2024</v>
      </c>
      <c r="AC21" s="3">
        <v>46147</v>
      </c>
      <c r="AD21" s="3" t="str">
        <v>5/29/2026</v>
      </c>
      <c r="AE21">
        <v>39000</v>
      </c>
      <c r="AF21">
        <v>18000</v>
      </c>
      <c r="AG21">
        <v>-25</v>
      </c>
      <c r="AH21">
        <v>58</v>
      </c>
      <c r="AI21">
        <v>10</v>
      </c>
      <c r="AJ21">
        <v>35</v>
      </c>
      <c r="AK21">
        <v>1</v>
      </c>
      <c r="AL21">
        <v>52000</v>
      </c>
      <c r="AM21">
        <v>0</v>
      </c>
      <c r="AN21">
        <v>18</v>
      </c>
      <c r="AO21" t="str">
        <v>Delayed</v>
      </c>
      <c r="AP21" t="str">
        <v>No</v>
      </c>
      <c r="AQ21" t="str">
        <v>very Good</v>
      </c>
    </row>
    <row r="25" spans="1:43" x14ac:dyDescent="0.2">
      <c r="A25" t="s">
        <v>169</v>
      </c>
      <c r="B25" t="s">
        <v>170</v>
      </c>
      <c r="C25" t="s">
        <v>171</v>
      </c>
      <c r="D25" t="s">
        <v>172</v>
      </c>
      <c r="E25" s="5" t="s">
        <v>173</v>
      </c>
      <c r="F25" s="5" t="s">
        <v>101</v>
      </c>
      <c r="G25" s="5" t="s">
        <v>174</v>
      </c>
      <c r="H25" t="s">
        <v>175</v>
      </c>
      <c r="I25" t="s">
        <v>176</v>
      </c>
      <c r="J25" t="s">
        <v>32</v>
      </c>
      <c r="K25" t="s">
        <v>177</v>
      </c>
      <c r="L25" t="s">
        <v>178</v>
      </c>
      <c r="M25" t="s">
        <v>179</v>
      </c>
      <c r="N25" t="s">
        <v>180</v>
      </c>
    </row>
    <row r="26" spans="1:43" x14ac:dyDescent="0.2">
      <c r="A26" t="s">
        <v>235</v>
      </c>
      <c r="B26" t="s">
        <v>205</v>
      </c>
      <c r="C26">
        <v>11</v>
      </c>
      <c r="D26">
        <v>33</v>
      </c>
      <c r="E26">
        <v>54</v>
      </c>
      <c r="F26">
        <v>53</v>
      </c>
      <c r="G26">
        <v>16</v>
      </c>
      <c r="H26">
        <f>SUM(C26:G26)</f>
        <v>167</v>
      </c>
      <c r="I26">
        <f>H26/500*100</f>
        <v>33.4</v>
      </c>
      <c r="J26" t="str">
        <f>IF(AND(C26&gt;=35,D26&gt;=35,E26&gt;=35,F26&gt;=35,G26&gt;=35),"Pass","Fail")</f>
        <v>Fail</v>
      </c>
      <c r="K26" t="e" cm="1">
        <f t="array" ref="K26">_xlfn.IFS(I26&gt;=75,"A+",I26&gt;=60,"B",I26&gt;=50,"C",I26&gt;=35,"D",,"F")</f>
        <v>#N/A</v>
      </c>
      <c r="L26" t="str">
        <f>IF(OR(AND(I26&gt;=75,J26="Pass"),I26&gt;=90),"ELIGIBLE","NOT ELIGIBLE")</f>
        <v>NOT ELIGIBLE</v>
      </c>
    </row>
    <row r="27" spans="1:43" x14ac:dyDescent="0.2">
      <c r="A27" t="s">
        <v>211</v>
      </c>
      <c r="B27" t="s">
        <v>182</v>
      </c>
      <c r="C27">
        <v>13</v>
      </c>
      <c r="D27">
        <v>69</v>
      </c>
      <c r="E27">
        <v>72</v>
      </c>
      <c r="F27">
        <v>55</v>
      </c>
      <c r="G27">
        <v>61</v>
      </c>
      <c r="H27">
        <f>SUM(C27:G27)</f>
        <v>270</v>
      </c>
      <c r="I27">
        <f>H27/500*100</f>
        <v>54</v>
      </c>
      <c r="J27" t="str">
        <f>IF(AND(C27&gt;=35,D27&gt;=35,E27&gt;=35,F27&gt;=35,G27&gt;=35),"Pass","Fail")</f>
        <v>Fail</v>
      </c>
      <c r="K27" t="str" cm="1">
        <f t="array" ref="K27">_xlfn.IFS(I27&gt;=75,"A+",I27&gt;=60,"B",I27&gt;=50,"C",I27&gt;=35,"D",,"F")</f>
        <v>C</v>
      </c>
      <c r="L27" t="str">
        <f>IF(OR(AND(I27&gt;=75,J27="Pass"),I27&gt;=90),"ELIGIBLE","NOT ELIGIBLE")</f>
        <v>NOT ELIGIBLE</v>
      </c>
    </row>
    <row r="28" spans="1:43" x14ac:dyDescent="0.2">
      <c r="A28" t="s">
        <v>213</v>
      </c>
      <c r="B28" t="s">
        <v>184</v>
      </c>
      <c r="C28">
        <v>13</v>
      </c>
      <c r="D28">
        <v>96</v>
      </c>
      <c r="E28">
        <v>88</v>
      </c>
      <c r="F28">
        <v>60</v>
      </c>
      <c r="G28">
        <v>57</v>
      </c>
      <c r="H28">
        <f>SUM(C28:G28)</f>
        <v>314</v>
      </c>
      <c r="I28">
        <f>H28/500*100</f>
        <v>62.8</v>
      </c>
      <c r="J28" t="str">
        <f>IF(AND(C28&gt;=35,D28&gt;=35,E28&gt;=35,F28&gt;=35,G28&gt;=35),"Pass","Fail")</f>
        <v>Fail</v>
      </c>
      <c r="K28" t="str" cm="1">
        <f t="array" ref="K28">_xlfn.IFS(I28&gt;=75,"A+",I28&gt;=60,"B",I28&gt;=50,"C",I28&gt;=35,"D",,"F")</f>
        <v>B</v>
      </c>
      <c r="L28" t="str">
        <f>IF(OR(AND(I28&gt;=75,J28="Pass"),I28&gt;=90),"ELIGIBLE","NOT ELIGIBLE")</f>
        <v>NOT ELIGIBLE</v>
      </c>
      <c r="O28" t="str" cm="1">
        <f t="array" ref="O28:Z57">_xlfn._xlws.SORT(A26:L55,9,-1)</f>
        <v>STU020</v>
      </c>
      <c r="P28" t="str">
        <v>Pranav More</v>
      </c>
      <c r="Q28">
        <v>30</v>
      </c>
      <c r="R28">
        <v>99</v>
      </c>
      <c r="S28">
        <v>100</v>
      </c>
      <c r="T28">
        <v>100</v>
      </c>
      <c r="U28">
        <v>100</v>
      </c>
      <c r="V28">
        <v>429</v>
      </c>
      <c r="W28">
        <v>85.8</v>
      </c>
      <c r="X28" t="str">
        <v>Fail</v>
      </c>
      <c r="Y28" t="str">
        <v>A+</v>
      </c>
      <c r="Z28" t="str">
        <v>NOT ELIGIBLE</v>
      </c>
    </row>
    <row r="29" spans="1:43" x14ac:dyDescent="0.2">
      <c r="A29" t="s">
        <v>225</v>
      </c>
      <c r="B29" t="s">
        <v>196</v>
      </c>
      <c r="C29">
        <v>17</v>
      </c>
      <c r="D29">
        <v>10</v>
      </c>
      <c r="E29">
        <v>55</v>
      </c>
      <c r="F29">
        <v>38</v>
      </c>
      <c r="G29">
        <v>81</v>
      </c>
      <c r="H29">
        <f>SUM(C29:G29)</f>
        <v>201</v>
      </c>
      <c r="I29">
        <f>H29/500*100</f>
        <v>40.200000000000003</v>
      </c>
      <c r="J29" t="str">
        <f>IF(AND(C29&gt;=35,D29&gt;=35,E29&gt;=35,F29&gt;=35,G29&gt;=35),"Pass","Fail")</f>
        <v>Fail</v>
      </c>
      <c r="K29" t="str" cm="1">
        <f t="array" ref="K29">_xlfn.IFS(I29&gt;=75,"A+",I29&gt;=60,"B",I29&gt;=50,"C",I29&gt;=35,"D",,"F")</f>
        <v>D</v>
      </c>
      <c r="L29" t="str">
        <f>IF(OR(AND(I29&gt;=75,J29="Pass"),I29&gt;=90),"ELIGIBLE","NOT ELIGIBLE")</f>
        <v>NOT ELIGIBLE</v>
      </c>
      <c r="O29" t="str">
        <v>STU023</v>
      </c>
      <c r="P29" t="str">
        <v>Sakshi Kulkarni</v>
      </c>
      <c r="Q29">
        <v>79</v>
      </c>
      <c r="R29">
        <v>94</v>
      </c>
      <c r="S29">
        <v>97</v>
      </c>
      <c r="T29">
        <v>75</v>
      </c>
      <c r="U29">
        <v>45</v>
      </c>
      <c r="V29">
        <v>390</v>
      </c>
      <c r="W29">
        <v>78</v>
      </c>
      <c r="X29" t="str">
        <v>Pass</v>
      </c>
      <c r="Y29" t="str">
        <v>A+</v>
      </c>
      <c r="Z29" t="str">
        <v>ELIGIBLE</v>
      </c>
    </row>
    <row r="30" spans="1:43" x14ac:dyDescent="0.2">
      <c r="A30" t="s">
        <v>218</v>
      </c>
      <c r="B30" t="s">
        <v>189</v>
      </c>
      <c r="C30">
        <v>20</v>
      </c>
      <c r="D30">
        <v>51</v>
      </c>
      <c r="E30">
        <v>73</v>
      </c>
      <c r="F30">
        <v>45</v>
      </c>
      <c r="G30">
        <v>96</v>
      </c>
      <c r="H30">
        <f>SUM(C30:G30)</f>
        <v>285</v>
      </c>
      <c r="I30">
        <f>H30/500*100</f>
        <v>56.999999999999993</v>
      </c>
      <c r="J30" t="str">
        <f>IF(AND(C30&gt;=35,D30&gt;=35,E30&gt;=35,F30&gt;=35,G30&gt;=35),"Pass","Fail")</f>
        <v>Fail</v>
      </c>
      <c r="K30" t="str" cm="1">
        <f t="array" ref="K30">_xlfn.IFS(I30&gt;=75,"A+",I30&gt;=60,"B",I30&gt;=50,"C",I30&gt;=35,"D",,"F")</f>
        <v>C</v>
      </c>
      <c r="L30" t="str">
        <f>IF(OR(AND(I30&gt;=75,J30="Pass"),I30&gt;=90),"ELIGIBLE","NOT ELIGIBLE")</f>
        <v>NOT ELIGIBLE</v>
      </c>
      <c r="O30" t="str">
        <v>STU012</v>
      </c>
      <c r="P30" t="str">
        <v>Kavya Patil</v>
      </c>
      <c r="Q30">
        <v>79</v>
      </c>
      <c r="R30">
        <v>67</v>
      </c>
      <c r="S30">
        <v>82</v>
      </c>
      <c r="T30">
        <v>90</v>
      </c>
      <c r="U30">
        <v>30</v>
      </c>
      <c r="V30">
        <v>348</v>
      </c>
      <c r="W30">
        <v>69.599999999999994</v>
      </c>
      <c r="X30" t="str">
        <v>Fail</v>
      </c>
      <c r="Y30" t="str">
        <v>B</v>
      </c>
      <c r="Z30" t="str">
        <v>NOT ELIGIBLE</v>
      </c>
    </row>
    <row r="31" spans="1:43" x14ac:dyDescent="0.2">
      <c r="A31" t="s">
        <v>223</v>
      </c>
      <c r="B31" t="s">
        <v>194</v>
      </c>
      <c r="C31">
        <v>24</v>
      </c>
      <c r="D31">
        <v>42</v>
      </c>
      <c r="E31">
        <v>81</v>
      </c>
      <c r="F31">
        <v>16</v>
      </c>
      <c r="G31">
        <v>92</v>
      </c>
      <c r="H31">
        <f>SUM(C31:G31)</f>
        <v>255</v>
      </c>
      <c r="I31">
        <f>H31/500*100</f>
        <v>51</v>
      </c>
      <c r="J31" t="str">
        <f>IF(AND(C31&gt;=35,D31&gt;=35,E31&gt;=35,F31&gt;=35,G31&gt;=35),"Pass","Fail")</f>
        <v>Fail</v>
      </c>
      <c r="K31" t="str" cm="1">
        <f t="array" ref="K31">_xlfn.IFS(I31&gt;=75,"A+",I31&gt;=60,"B",I31&gt;=50,"C",I31&gt;=35,"D",,"F")</f>
        <v>C</v>
      </c>
      <c r="L31" t="str">
        <f>IF(OR(AND(I31&gt;=75,J31="Pass"),I31&gt;=90),"ELIGIBLE","NOT ELIGIBLE")</f>
        <v>NOT ELIGIBLE</v>
      </c>
      <c r="O31" t="str">
        <v>STU029</v>
      </c>
      <c r="P31" t="str">
        <v>Vedant Chavan</v>
      </c>
      <c r="Q31">
        <v>72</v>
      </c>
      <c r="R31">
        <v>77</v>
      </c>
      <c r="S31">
        <v>59</v>
      </c>
      <c r="T31">
        <v>71</v>
      </c>
      <c r="U31">
        <v>65</v>
      </c>
      <c r="V31">
        <v>344</v>
      </c>
      <c r="W31">
        <v>68.8</v>
      </c>
      <c r="X31" t="str">
        <v>Pass</v>
      </c>
      <c r="Y31" t="str">
        <v>B</v>
      </c>
      <c r="Z31" t="str">
        <v>NOT ELIGIBLE</v>
      </c>
    </row>
    <row r="32" spans="1:43" x14ac:dyDescent="0.2">
      <c r="A32" t="s">
        <v>236</v>
      </c>
      <c r="B32" t="s">
        <v>206</v>
      </c>
      <c r="C32">
        <v>29</v>
      </c>
      <c r="D32">
        <v>91</v>
      </c>
      <c r="E32">
        <v>16</v>
      </c>
      <c r="F32">
        <v>93</v>
      </c>
      <c r="G32">
        <v>46</v>
      </c>
      <c r="H32">
        <f>SUM(C32:G32)</f>
        <v>275</v>
      </c>
      <c r="I32">
        <f>H32/500*100</f>
        <v>55.000000000000007</v>
      </c>
      <c r="J32" t="str">
        <f>IF(AND(C32&gt;=35,D32&gt;=35,E32&gt;=35,F32&gt;=35,G32&gt;=35),"Pass","Fail")</f>
        <v>Fail</v>
      </c>
      <c r="K32" t="str" cm="1">
        <f t="array" ref="K32">_xlfn.IFS(I32&gt;=75,"A+",I32&gt;=60,"B",I32&gt;=50,"C",I32&gt;=35,"D",,"F")</f>
        <v>C</v>
      </c>
      <c r="L32" t="str">
        <f>IF(OR(AND(I32&gt;=75,J32="Pass"),I32&gt;=90),"ELIGIBLE","NOT ELIGIBLE")</f>
        <v>NOT ELIGIBLE</v>
      </c>
      <c r="O32" t="str">
        <v>STU019</v>
      </c>
      <c r="P32" t="str">
        <v>Omkar Jadhav</v>
      </c>
      <c r="Q32">
        <v>40</v>
      </c>
      <c r="R32">
        <v>94</v>
      </c>
      <c r="S32">
        <v>78</v>
      </c>
      <c r="T32">
        <v>67</v>
      </c>
      <c r="U32">
        <v>63</v>
      </c>
      <c r="V32">
        <v>342</v>
      </c>
      <c r="W32">
        <v>68.400000000000006</v>
      </c>
      <c r="X32" t="str">
        <v>Pass</v>
      </c>
      <c r="Y32" t="str">
        <v>B</v>
      </c>
      <c r="Z32" t="str">
        <v>NOT ELIGIBLE</v>
      </c>
    </row>
    <row r="33" spans="1:26" x14ac:dyDescent="0.2">
      <c r="A33" t="s">
        <v>229</v>
      </c>
      <c r="B33" t="s">
        <v>199</v>
      </c>
      <c r="C33">
        <v>30</v>
      </c>
      <c r="D33">
        <v>99</v>
      </c>
      <c r="E33">
        <v>100</v>
      </c>
      <c r="F33">
        <v>100</v>
      </c>
      <c r="G33">
        <v>100</v>
      </c>
      <c r="H33">
        <f>SUM(C33:G33)</f>
        <v>429</v>
      </c>
      <c r="I33">
        <f>H33/500*100</f>
        <v>85.8</v>
      </c>
      <c r="J33" t="str">
        <f>IF(AND(C33&gt;=35,D33&gt;=35,E33&gt;=35,F33&gt;=35,G33&gt;=35),"Pass","Fail")</f>
        <v>Fail</v>
      </c>
      <c r="K33" t="str" cm="1">
        <f t="array" ref="K33">_xlfn.IFS(I33&gt;=75,"A+",I33&gt;=60,"B",I33&gt;=50,"C",I33&gt;=35,"D",,"F")</f>
        <v>A+</v>
      </c>
      <c r="L33" t="str">
        <f>IF(OR(AND(I33&gt;=75,J33="Pass"),I33&gt;=90),"ELIGIBLE","NOT ELIGIBLE")</f>
        <v>NOT ELIGIBLE</v>
      </c>
      <c r="O33" t="str">
        <v>STU008</v>
      </c>
      <c r="P33" t="str">
        <v>Diya Shah</v>
      </c>
      <c r="Q33">
        <v>82</v>
      </c>
      <c r="R33">
        <v>92</v>
      </c>
      <c r="S33">
        <v>79</v>
      </c>
      <c r="T33">
        <v>54</v>
      </c>
      <c r="U33">
        <v>33</v>
      </c>
      <c r="V33">
        <v>340</v>
      </c>
      <c r="W33">
        <v>68</v>
      </c>
      <c r="X33" t="str">
        <v>Fail</v>
      </c>
      <c r="Y33" t="str">
        <v>B</v>
      </c>
      <c r="Z33" t="str">
        <v>NOT ELIGIBLE</v>
      </c>
    </row>
    <row r="34" spans="1:26" x14ac:dyDescent="0.2">
      <c r="A34" t="s">
        <v>214</v>
      </c>
      <c r="B34" t="s">
        <v>185</v>
      </c>
      <c r="C34">
        <v>33</v>
      </c>
      <c r="D34">
        <v>98</v>
      </c>
      <c r="E34">
        <v>14</v>
      </c>
      <c r="F34">
        <v>96</v>
      </c>
      <c r="G34">
        <v>56</v>
      </c>
      <c r="H34">
        <f>SUM(C34:G34)</f>
        <v>297</v>
      </c>
      <c r="I34">
        <f>H34/500*100</f>
        <v>59.4</v>
      </c>
      <c r="J34" t="str">
        <f>IF(AND(C34&gt;=35,D34&gt;=35,E34&gt;=35,F34&gt;=35,G34&gt;=35),"Pass","Fail")</f>
        <v>Fail</v>
      </c>
      <c r="K34" t="str" cm="1">
        <f t="array" ref="K34">_xlfn.IFS(I34&gt;=75,"A+",I34&gt;=60,"B",I34&gt;=50,"C",I34&gt;=35,"D",,"F")</f>
        <v>C</v>
      </c>
      <c r="L34" t="str">
        <f>IF(OR(AND(I34&gt;=75,J34="Pass"),I34&gt;=90),"ELIGIBLE","NOT ELIGIBLE")</f>
        <v>NOT ELIGIBLE</v>
      </c>
      <c r="O34" t="str">
        <v>STU017</v>
      </c>
      <c r="P34" t="str">
        <v>Neha Sharma</v>
      </c>
      <c r="Q34">
        <v>71</v>
      </c>
      <c r="R34">
        <v>69</v>
      </c>
      <c r="S34">
        <v>51</v>
      </c>
      <c r="T34">
        <v>85</v>
      </c>
      <c r="U34">
        <v>52</v>
      </c>
      <c r="V34">
        <v>328</v>
      </c>
      <c r="W34">
        <v>65.600000000000009</v>
      </c>
      <c r="X34" t="str">
        <v>Pass</v>
      </c>
      <c r="Y34" t="str">
        <v>B</v>
      </c>
      <c r="Z34" t="str">
        <v>NOT ELIGIBLE</v>
      </c>
    </row>
    <row r="35" spans="1:26" x14ac:dyDescent="0.2">
      <c r="A35" t="s">
        <v>228</v>
      </c>
      <c r="B35" t="s">
        <v>198</v>
      </c>
      <c r="C35">
        <v>40</v>
      </c>
      <c r="D35">
        <v>94</v>
      </c>
      <c r="E35">
        <v>78</v>
      </c>
      <c r="F35">
        <v>67</v>
      </c>
      <c r="G35">
        <v>63</v>
      </c>
      <c r="H35">
        <f>SUM(C35:G35)</f>
        <v>342</v>
      </c>
      <c r="I35">
        <f>H35/500*100</f>
        <v>68.400000000000006</v>
      </c>
      <c r="J35" t="str">
        <f>IF(AND(C35&gt;=35,D35&gt;=35,E35&gt;=35,F35&gt;=35,G35&gt;=35),"Pass","Fail")</f>
        <v>Pass</v>
      </c>
      <c r="K35" t="str" cm="1">
        <f t="array" ref="K35">_xlfn.IFS(I35&gt;=75,"A+",I35&gt;=60,"B",I35&gt;=50,"C",I35&gt;=35,"D",,"F")</f>
        <v>B</v>
      </c>
      <c r="L35" t="str">
        <f>IF(OR(AND(I35&gt;=75,J35="Pass"),I35&gt;=90),"ELIGIBLE","NOT ELIGIBLE")</f>
        <v>NOT ELIGIBLE</v>
      </c>
      <c r="O35" t="str">
        <v>STU011</v>
      </c>
      <c r="P35" t="str">
        <v>Kabir Chavan</v>
      </c>
      <c r="Q35">
        <v>64</v>
      </c>
      <c r="R35">
        <v>40</v>
      </c>
      <c r="S35">
        <v>71</v>
      </c>
      <c r="T35">
        <v>98</v>
      </c>
      <c r="U35">
        <v>45</v>
      </c>
      <c r="V35">
        <v>318</v>
      </c>
      <c r="W35">
        <v>63.6</v>
      </c>
      <c r="X35" t="str">
        <v>Pass</v>
      </c>
      <c r="Y35" t="str">
        <v>B</v>
      </c>
      <c r="Z35" t="str">
        <v>NOT ELIGIBLE</v>
      </c>
    </row>
    <row r="36" spans="1:26" x14ac:dyDescent="0.2">
      <c r="A36" t="s">
        <v>224</v>
      </c>
      <c r="B36" t="s">
        <v>195</v>
      </c>
      <c r="C36">
        <v>44</v>
      </c>
      <c r="D36">
        <v>86</v>
      </c>
      <c r="E36">
        <v>27</v>
      </c>
      <c r="F36">
        <v>48</v>
      </c>
      <c r="G36">
        <v>95</v>
      </c>
      <c r="H36">
        <f>SUM(C36:G36)</f>
        <v>300</v>
      </c>
      <c r="I36">
        <f>H36/500*100</f>
        <v>60</v>
      </c>
      <c r="J36" t="str">
        <f>IF(AND(C36&gt;=35,D36&gt;=35,E36&gt;=35,F36&gt;=35,G36&gt;=35),"Pass","Fail")</f>
        <v>Fail</v>
      </c>
      <c r="K36" t="str" cm="1">
        <f t="array" ref="K36">_xlfn.IFS(I36&gt;=75,"A+",I36&gt;=60,"B",I36&gt;=50,"C",I36&gt;=35,"D",,"F")</f>
        <v>B</v>
      </c>
      <c r="L36" t="str">
        <f>IF(OR(AND(I36&gt;=75,J36="Pass"),I36&gt;=90),"ELIGIBLE","NOT ELIGIBLE")</f>
        <v>NOT ELIGIBLE</v>
      </c>
      <c r="O36" t="str">
        <v>STU004</v>
      </c>
      <c r="P36" t="str">
        <v>Ananya Deshmukh</v>
      </c>
      <c r="Q36">
        <v>13</v>
      </c>
      <c r="R36">
        <v>96</v>
      </c>
      <c r="S36">
        <v>88</v>
      </c>
      <c r="T36">
        <v>60</v>
      </c>
      <c r="U36">
        <v>57</v>
      </c>
      <c r="V36">
        <v>314</v>
      </c>
      <c r="W36">
        <v>62.8</v>
      </c>
      <c r="X36" t="str">
        <v>Fail</v>
      </c>
      <c r="Y36" t="str">
        <v>B</v>
      </c>
      <c r="Z36" t="str">
        <v>NOT ELIGIBLE</v>
      </c>
    </row>
    <row r="37" spans="1:26" x14ac:dyDescent="0.2">
      <c r="A37" t="s">
        <v>239</v>
      </c>
      <c r="B37" t="s">
        <v>209</v>
      </c>
      <c r="C37">
        <v>49</v>
      </c>
      <c r="D37">
        <v>15</v>
      </c>
      <c r="E37">
        <v>37</v>
      </c>
      <c r="F37">
        <v>72</v>
      </c>
      <c r="G37">
        <v>89</v>
      </c>
      <c r="H37">
        <f>SUM(C37:G37)</f>
        <v>262</v>
      </c>
      <c r="I37">
        <f>H37/500*100</f>
        <v>52.400000000000006</v>
      </c>
      <c r="J37" t="str">
        <f>IF(AND(C37&gt;=35,D37&gt;=35,E37&gt;=35,F37&gt;=35,G37&gt;=35),"Pass","Fail")</f>
        <v>Fail</v>
      </c>
      <c r="K37" t="str" cm="1">
        <f t="array" ref="K37">_xlfn.IFS(I37&gt;=75,"A+",I37&gt;=60,"B",I37&gt;=50,"C",I37&gt;=35,"D",,"F")</f>
        <v>C</v>
      </c>
      <c r="L37" t="str">
        <f>IF(OR(AND(I37&gt;=75,J37="Pass"),I37&gt;=90),"ELIGIBLE","NOT ELIGIBLE")</f>
        <v>NOT ELIGIBLE</v>
      </c>
      <c r="O37" t="str">
        <v>STU010</v>
      </c>
      <c r="P37" t="str">
        <v>Ishita Singh</v>
      </c>
      <c r="Q37">
        <v>70</v>
      </c>
      <c r="R37">
        <v>100</v>
      </c>
      <c r="S37">
        <v>51</v>
      </c>
      <c r="T37">
        <v>26</v>
      </c>
      <c r="U37">
        <v>62</v>
      </c>
      <c r="V37">
        <v>309</v>
      </c>
      <c r="W37">
        <v>61.8</v>
      </c>
      <c r="X37" t="str">
        <v>Fail</v>
      </c>
      <c r="Y37" t="str">
        <v>B</v>
      </c>
      <c r="Z37" t="str">
        <v>NOT ELIGIBLE</v>
      </c>
    </row>
    <row r="38" spans="1:26" x14ac:dyDescent="0.2">
      <c r="A38" t="s">
        <v>237</v>
      </c>
      <c r="B38" t="s">
        <v>207</v>
      </c>
      <c r="C38">
        <v>51</v>
      </c>
      <c r="D38">
        <v>47</v>
      </c>
      <c r="E38">
        <v>42</v>
      </c>
      <c r="F38">
        <v>38</v>
      </c>
      <c r="G38">
        <v>91</v>
      </c>
      <c r="H38">
        <f>SUM(C38:G38)</f>
        <v>269</v>
      </c>
      <c r="I38">
        <f>H38/500*100</f>
        <v>53.800000000000004</v>
      </c>
      <c r="J38" t="str">
        <f>IF(AND(C38&gt;=35,D38&gt;=35,E38&gt;=35,F38&gt;=35,G38&gt;=35),"Pass","Fail")</f>
        <v>Pass</v>
      </c>
      <c r="K38" t="str" cm="1">
        <f t="array" ref="K38">_xlfn.IFS(I38&gt;=75,"A+",I38&gt;=60,"B",I38&gt;=50,"C",I38&gt;=35,"D",,"F")</f>
        <v>C</v>
      </c>
      <c r="L38" t="str">
        <f>IF(OR(AND(I38&gt;=75,J38="Pass"),I38&gt;=90),"ELIGIBLE","NOT ELIGIBLE")</f>
        <v>NOT ELIGIBLE</v>
      </c>
      <c r="O38" t="str">
        <v>STU021</v>
      </c>
      <c r="P38" t="str">
        <v>Riya Shah</v>
      </c>
      <c r="Q38">
        <v>67</v>
      </c>
      <c r="R38">
        <v>13</v>
      </c>
      <c r="S38">
        <v>97</v>
      </c>
      <c r="T38">
        <v>48</v>
      </c>
      <c r="U38">
        <v>79</v>
      </c>
      <c r="V38">
        <v>304</v>
      </c>
      <c r="W38">
        <v>60.8</v>
      </c>
      <c r="X38" t="str">
        <v>Fail</v>
      </c>
      <c r="Y38" t="str">
        <v>B</v>
      </c>
      <c r="Z38" t="str">
        <v>NOT ELIGIBLE</v>
      </c>
    </row>
    <row r="39" spans="1:26" x14ac:dyDescent="0.2">
      <c r="A39" t="s">
        <v>231</v>
      </c>
      <c r="B39" t="s">
        <v>201</v>
      </c>
      <c r="C39">
        <v>53</v>
      </c>
      <c r="D39">
        <v>62</v>
      </c>
      <c r="E39">
        <v>49</v>
      </c>
      <c r="F39">
        <v>26</v>
      </c>
      <c r="G39">
        <v>21</v>
      </c>
      <c r="H39">
        <f>SUM(C39:G39)</f>
        <v>211</v>
      </c>
      <c r="I39">
        <f>H39/500*100</f>
        <v>42.199999999999996</v>
      </c>
      <c r="J39" t="str">
        <f>IF(AND(C39&gt;=35,D39&gt;=35,E39&gt;=35,F39&gt;=35,G39&gt;=35),"Pass","Fail")</f>
        <v>Fail</v>
      </c>
      <c r="K39" t="str" cm="1">
        <f t="array" ref="K39">_xlfn.IFS(I39&gt;=75,"A+",I39&gt;=60,"B",I39&gt;=50,"C",I39&gt;=35,"D",,"F")</f>
        <v>D</v>
      </c>
      <c r="L39" t="str">
        <f>IF(OR(AND(I39&gt;=75,J39="Pass"),I39&gt;=90),"ELIGIBLE","NOT ELIGIBLE")</f>
        <v>NOT ELIGIBLE</v>
      </c>
      <c r="O39" t="str">
        <v>STU006</v>
      </c>
      <c r="P39" t="str">
        <v>Aditi Joshi</v>
      </c>
      <c r="Q39">
        <v>70</v>
      </c>
      <c r="R39">
        <v>100</v>
      </c>
      <c r="S39">
        <v>37</v>
      </c>
      <c r="T39">
        <v>52</v>
      </c>
      <c r="U39">
        <v>43</v>
      </c>
      <c r="V39">
        <v>302</v>
      </c>
      <c r="W39">
        <v>60.4</v>
      </c>
      <c r="X39" t="str">
        <v>Pass</v>
      </c>
      <c r="Y39" t="str">
        <v>B</v>
      </c>
      <c r="Z39" t="str">
        <v>NOT ELIGIBLE</v>
      </c>
    </row>
    <row r="40" spans="1:26" x14ac:dyDescent="0.2">
      <c r="A40" t="s">
        <v>227</v>
      </c>
      <c r="B40" t="s">
        <v>197</v>
      </c>
      <c r="C40">
        <v>54</v>
      </c>
      <c r="D40">
        <v>30</v>
      </c>
      <c r="E40">
        <v>31</v>
      </c>
      <c r="F40">
        <v>73</v>
      </c>
      <c r="G40">
        <v>52</v>
      </c>
      <c r="H40">
        <f>SUM(C40:G40)</f>
        <v>240</v>
      </c>
      <c r="I40">
        <f>H40/500*100</f>
        <v>48</v>
      </c>
      <c r="J40" t="str">
        <f>IF(AND(C40&gt;=35,D40&gt;=35,E40&gt;=35,F40&gt;=35,G40&gt;=35),"Pass","Fail")</f>
        <v>Fail</v>
      </c>
      <c r="K40" t="str" cm="1">
        <f t="array" ref="K40">_xlfn.IFS(I40&gt;=75,"A+",I40&gt;=60,"B",I40&gt;=50,"C",I40&gt;=35,"D",,"F")</f>
        <v>D</v>
      </c>
      <c r="L40" t="str">
        <f>IF(OR(AND(I40&gt;=75,J40="Pass"),I40&gt;=90),"ELIGIBLE","NOT ELIGIBLE")</f>
        <v>NOT ELIGIBLE</v>
      </c>
      <c r="O40" t="str">
        <v>STU015</v>
      </c>
      <c r="P40" t="str">
        <v>Manav Joshi</v>
      </c>
      <c r="Q40">
        <v>44</v>
      </c>
      <c r="R40">
        <v>86</v>
      </c>
      <c r="S40">
        <v>27</v>
      </c>
      <c r="T40">
        <v>48</v>
      </c>
      <c r="U40">
        <v>95</v>
      </c>
      <c r="V40">
        <v>300</v>
      </c>
      <c r="W40">
        <v>60</v>
      </c>
      <c r="X40" t="str">
        <v>Fail</v>
      </c>
      <c r="Y40" t="str">
        <v>B</v>
      </c>
      <c r="Z40" t="str">
        <v>NOT ELIGIBLE</v>
      </c>
    </row>
    <row r="41" spans="1:26" x14ac:dyDescent="0.2">
      <c r="A41" t="s">
        <v>222</v>
      </c>
      <c r="B41" t="s">
        <v>193</v>
      </c>
      <c r="C41">
        <v>55</v>
      </c>
      <c r="D41">
        <v>23</v>
      </c>
      <c r="E41">
        <v>37</v>
      </c>
      <c r="F41">
        <v>36</v>
      </c>
      <c r="G41">
        <v>48</v>
      </c>
      <c r="H41">
        <f>SUM(C41:G41)</f>
        <v>199</v>
      </c>
      <c r="I41">
        <f>H41/500*100</f>
        <v>39.800000000000004</v>
      </c>
      <c r="J41" t="str">
        <f>IF(AND(C41&gt;=35,D41&gt;=35,E41&gt;=35,F41&gt;=35,G41&gt;=35),"Pass","Fail")</f>
        <v>Fail</v>
      </c>
      <c r="K41" t="str" cm="1">
        <f t="array" ref="K41">_xlfn.IFS(I41&gt;=75,"A+",I41&gt;=60,"B",I41&gt;=50,"C",I41&gt;=35,"D",,"F")</f>
        <v>D</v>
      </c>
      <c r="L41" t="str">
        <f>IF(OR(AND(I41&gt;=75,J41="Pass"),I41&gt;=90),"ELIGIBLE","NOT ELIGIBLE")</f>
        <v>NOT ELIGIBLE</v>
      </c>
      <c r="O41" t="str">
        <v>STU005</v>
      </c>
      <c r="P41" t="str">
        <v>Aryan Kulkarni</v>
      </c>
      <c r="Q41">
        <v>33</v>
      </c>
      <c r="R41">
        <v>98</v>
      </c>
      <c r="S41">
        <v>14</v>
      </c>
      <c r="T41">
        <v>96</v>
      </c>
      <c r="U41">
        <v>56</v>
      </c>
      <c r="V41">
        <v>297</v>
      </c>
      <c r="W41">
        <v>59.4</v>
      </c>
      <c r="X41" t="str">
        <v>Fail</v>
      </c>
      <c r="Y41" t="str">
        <v>C</v>
      </c>
      <c r="Z41" t="str">
        <v>NOT ELIGIBLE</v>
      </c>
    </row>
    <row r="42" spans="1:26" x14ac:dyDescent="0.2">
      <c r="A42" t="s">
        <v>210</v>
      </c>
      <c r="B42" t="s">
        <v>181</v>
      </c>
      <c r="C42">
        <v>58</v>
      </c>
      <c r="D42">
        <v>50</v>
      </c>
      <c r="E42">
        <v>78</v>
      </c>
      <c r="F42">
        <v>16</v>
      </c>
      <c r="G42">
        <v>46</v>
      </c>
      <c r="H42">
        <f>SUM(C42:G42)</f>
        <v>248</v>
      </c>
      <c r="I42">
        <f>H42/500*100</f>
        <v>49.6</v>
      </c>
      <c r="J42" t="str">
        <f>IF(AND(C42&gt;=35,D42&gt;=35,E42&gt;=35,F42&gt;=35,G42&gt;=35),"Pass","Fail")</f>
        <v>Fail</v>
      </c>
      <c r="K42" t="str" cm="1">
        <f t="array" ref="K42">_xlfn.IFS(I42&gt;=75,"A+",I42&gt;=60,"B",I42&gt;=50,"C",I42&gt;=35,"D",,"F")</f>
        <v>D</v>
      </c>
      <c r="L42" t="str">
        <f>IF(OR(AND(I42&gt;=75,J42="Pass"),I42&gt;=90),"ELIGIBLE","NOT ELIGIBLE")</f>
        <v>NOT ELIGIBLE</v>
      </c>
      <c r="O42" t="str">
        <v>STU009</v>
      </c>
      <c r="P42" t="str">
        <v>Dhruv Mehta</v>
      </c>
      <c r="Q42">
        <v>20</v>
      </c>
      <c r="R42">
        <v>51</v>
      </c>
      <c r="S42">
        <v>73</v>
      </c>
      <c r="T42">
        <v>45</v>
      </c>
      <c r="U42">
        <v>96</v>
      </c>
      <c r="V42">
        <v>285</v>
      </c>
      <c r="W42">
        <v>56.999999999999993</v>
      </c>
      <c r="X42" t="str">
        <v>Fail</v>
      </c>
      <c r="Y42" t="str">
        <v>C</v>
      </c>
      <c r="Z42" t="str">
        <v>NOT ELIGIBLE</v>
      </c>
    </row>
    <row r="43" spans="1:26" x14ac:dyDescent="0.2">
      <c r="A43" t="s">
        <v>216</v>
      </c>
      <c r="B43" t="s">
        <v>187</v>
      </c>
      <c r="C43">
        <v>63</v>
      </c>
      <c r="D43">
        <v>14</v>
      </c>
      <c r="E43">
        <v>66</v>
      </c>
      <c r="F43">
        <v>11</v>
      </c>
      <c r="G43">
        <v>56</v>
      </c>
      <c r="H43">
        <f>SUM(C43:G43)</f>
        <v>210</v>
      </c>
      <c r="I43">
        <f>H43/500*100</f>
        <v>42</v>
      </c>
      <c r="J43" t="str">
        <f>IF(AND(C43&gt;=35,D43&gt;=35,E43&gt;=35,F43&gt;=35,G43&gt;=35),"Pass","Fail")</f>
        <v>Fail</v>
      </c>
      <c r="K43" t="str" cm="1">
        <f t="array" ref="K43">_xlfn.IFS(I43&gt;=75,"A+",I43&gt;=60,"B",I43&gt;=50,"C",I43&gt;=35,"D",,"F")</f>
        <v>D</v>
      </c>
      <c r="L43" t="str">
        <f>IF(OR(AND(I43&gt;=75,J43="Pass"),I43&gt;=90),"ELIGIBLE","NOT ELIGIBLE")</f>
        <v>NOT ELIGIBLE</v>
      </c>
      <c r="O43" t="str">
        <v>STU024</v>
      </c>
      <c r="P43" t="str">
        <v>Samarth Joshi</v>
      </c>
      <c r="Q43">
        <v>81</v>
      </c>
      <c r="R43">
        <v>96</v>
      </c>
      <c r="S43">
        <v>24</v>
      </c>
      <c r="T43">
        <v>24</v>
      </c>
      <c r="U43">
        <v>58</v>
      </c>
      <c r="V43">
        <v>283</v>
      </c>
      <c r="W43">
        <v>56.599999999999994</v>
      </c>
      <c r="X43" t="str">
        <v>Fail</v>
      </c>
      <c r="Y43" t="str">
        <v>C</v>
      </c>
      <c r="Z43" t="str">
        <v>NOT ELIGIBLE</v>
      </c>
    </row>
    <row r="44" spans="1:26" x14ac:dyDescent="0.2">
      <c r="A44" t="s">
        <v>220</v>
      </c>
      <c r="B44" t="s">
        <v>191</v>
      </c>
      <c r="C44">
        <v>64</v>
      </c>
      <c r="D44">
        <v>40</v>
      </c>
      <c r="E44">
        <v>71</v>
      </c>
      <c r="F44">
        <v>98</v>
      </c>
      <c r="G44">
        <v>45</v>
      </c>
      <c r="H44">
        <f>SUM(C44:G44)</f>
        <v>318</v>
      </c>
      <c r="I44">
        <f>H44/500*100</f>
        <v>63.6</v>
      </c>
      <c r="J44" t="str">
        <f>IF(AND(C44&gt;=35,D44&gt;=35,E44&gt;=35,F44&gt;=35,G44&gt;=35),"Pass","Fail")</f>
        <v>Pass</v>
      </c>
      <c r="K44" t="str" cm="1">
        <f t="array" ref="K44">_xlfn.IFS(I44&gt;=75,"A+",I44&gt;=60,"B",I44&gt;=50,"C",I44&gt;=35,"D",,"F")</f>
        <v>B</v>
      </c>
      <c r="L44" t="str">
        <f>IF(OR(AND(I44&gt;=75,J44="Pass"),I44&gt;=90),"ELIGIBLE","NOT ELIGIBLE")</f>
        <v>NOT ELIGIBLE</v>
      </c>
      <c r="O44" t="str">
        <v>STU027</v>
      </c>
      <c r="P44" t="str">
        <v>Sneha Patil</v>
      </c>
      <c r="Q44">
        <v>29</v>
      </c>
      <c r="R44">
        <v>91</v>
      </c>
      <c r="S44">
        <v>16</v>
      </c>
      <c r="T44">
        <v>93</v>
      </c>
      <c r="U44">
        <v>46</v>
      </c>
      <c r="V44">
        <v>275</v>
      </c>
      <c r="W44">
        <v>55.000000000000007</v>
      </c>
      <c r="X44" t="str">
        <v>Fail</v>
      </c>
      <c r="Y44" t="str">
        <v>C</v>
      </c>
      <c r="Z44" t="str">
        <v>NOT ELIGIBLE</v>
      </c>
    </row>
    <row r="45" spans="1:26" x14ac:dyDescent="0.2">
      <c r="A45" t="s">
        <v>230</v>
      </c>
      <c r="B45" t="s">
        <v>200</v>
      </c>
      <c r="C45">
        <v>67</v>
      </c>
      <c r="D45">
        <v>13</v>
      </c>
      <c r="E45">
        <v>97</v>
      </c>
      <c r="F45">
        <v>48</v>
      </c>
      <c r="G45">
        <v>79</v>
      </c>
      <c r="H45">
        <f>SUM(C45:G45)</f>
        <v>304</v>
      </c>
      <c r="I45">
        <f>H45/500*100</f>
        <v>60.8</v>
      </c>
      <c r="J45" t="str">
        <f>IF(AND(C45&gt;=35,D45&gt;=35,E45&gt;=35,F45&gt;=35,G45&gt;=35),"Pass","Fail")</f>
        <v>Fail</v>
      </c>
      <c r="K45" t="str" cm="1">
        <f t="array" ref="K45">_xlfn.IFS(I45&gt;=75,"A+",I45&gt;=60,"B",I45&gt;=50,"C",I45&gt;=35,"D",,"F")</f>
        <v>B</v>
      </c>
      <c r="L45" t="str">
        <f>IF(OR(AND(I45&gt;=75,J45="Pass"),I45&gt;=90),"ELIGIBLE","NOT ELIGIBLE")</f>
        <v>NOT ELIGIBLE</v>
      </c>
      <c r="O45" t="str">
        <v>STU002</v>
      </c>
      <c r="P45" t="str">
        <v>Aditya Patil</v>
      </c>
      <c r="Q45">
        <v>13</v>
      </c>
      <c r="R45">
        <v>69</v>
      </c>
      <c r="S45">
        <v>72</v>
      </c>
      <c r="T45">
        <v>55</v>
      </c>
      <c r="U45">
        <v>61</v>
      </c>
      <c r="V45">
        <v>270</v>
      </c>
      <c r="W45">
        <v>54</v>
      </c>
      <c r="X45" t="str">
        <v>Fail</v>
      </c>
      <c r="Y45" t="str">
        <v>C</v>
      </c>
      <c r="Z45" t="str">
        <v>NOT ELIGIBLE</v>
      </c>
    </row>
    <row r="46" spans="1:26" x14ac:dyDescent="0.2">
      <c r="A46" s="18" t="s">
        <v>215</v>
      </c>
      <c r="B46" s="18" t="s">
        <v>186</v>
      </c>
      <c r="C46">
        <v>70</v>
      </c>
      <c r="D46">
        <v>100</v>
      </c>
      <c r="E46">
        <v>37</v>
      </c>
      <c r="F46">
        <v>52</v>
      </c>
      <c r="G46">
        <v>43</v>
      </c>
      <c r="H46">
        <f>SUM(C46:G46)</f>
        <v>302</v>
      </c>
      <c r="I46">
        <f>H46/500*100</f>
        <v>60.4</v>
      </c>
      <c r="J46" t="str">
        <f>IF(AND(C46&gt;=35,D46&gt;=35,E46&gt;=35,F46&gt;=35,G46&gt;=35),"Pass","Fail")</f>
        <v>Pass</v>
      </c>
      <c r="K46" t="str" cm="1">
        <f t="array" ref="K46">_xlfn.IFS(I46&gt;=75,"A+",I46&gt;=60,"B",I46&gt;=50,"C",I46&gt;=35,"D",,"F")</f>
        <v>B</v>
      </c>
      <c r="L46" t="str">
        <f>IF(OR(AND(I46&gt;=75,J46="Pass"),I46&gt;=90),"ELIGIBLE","NOT ELIGIBLE")</f>
        <v>NOT ELIGIBLE</v>
      </c>
      <c r="O46" t="str">
        <v>STU028</v>
      </c>
      <c r="P46" t="str">
        <v>Tanvi Sharma</v>
      </c>
      <c r="Q46">
        <v>51</v>
      </c>
      <c r="R46">
        <v>47</v>
      </c>
      <c r="S46">
        <v>42</v>
      </c>
      <c r="T46">
        <v>38</v>
      </c>
      <c r="U46">
        <v>91</v>
      </c>
      <c r="V46">
        <v>269</v>
      </c>
      <c r="W46">
        <v>53.800000000000004</v>
      </c>
      <c r="X46" t="str">
        <v>Pass</v>
      </c>
      <c r="Y46" t="str">
        <v>C</v>
      </c>
      <c r="Z46" t="str">
        <v>NOT ELIGIBLE</v>
      </c>
    </row>
    <row r="47" spans="1:26" x14ac:dyDescent="0.2">
      <c r="A47" t="s">
        <v>219</v>
      </c>
      <c r="B47" t="s">
        <v>190</v>
      </c>
      <c r="C47">
        <v>70</v>
      </c>
      <c r="D47">
        <v>100</v>
      </c>
      <c r="E47">
        <v>51</v>
      </c>
      <c r="F47">
        <v>26</v>
      </c>
      <c r="G47">
        <v>62</v>
      </c>
      <c r="H47">
        <f>SUM(C47:G47)</f>
        <v>309</v>
      </c>
      <c r="I47">
        <f>H47/500*100</f>
        <v>61.8</v>
      </c>
      <c r="J47" t="str">
        <f>IF(AND(C47&gt;=35,D47&gt;=35,E47&gt;=35,F47&gt;=35,G47&gt;=35),"Pass","Fail")</f>
        <v>Fail</v>
      </c>
      <c r="K47" t="str" cm="1">
        <f t="array" ref="K47">_xlfn.IFS(I47&gt;=75,"A+",I47&gt;=60,"B",I47&gt;=50,"C",I47&gt;=35,"D",,"F")</f>
        <v>B</v>
      </c>
      <c r="L47" t="str">
        <f>IF(OR(AND(I47&gt;=75,J47="Pass"),I47&gt;=90),"ELIGIBLE","NOT ELIGIBLE")</f>
        <v>NOT ELIGIBLE</v>
      </c>
      <c r="O47" t="str">
        <v>STU030</v>
      </c>
      <c r="P47" t="str">
        <v>Yash Kulkarni</v>
      </c>
      <c r="Q47">
        <v>49</v>
      </c>
      <c r="R47">
        <v>15</v>
      </c>
      <c r="S47">
        <v>37</v>
      </c>
      <c r="T47">
        <v>72</v>
      </c>
      <c r="U47">
        <v>89</v>
      </c>
      <c r="V47">
        <v>262</v>
      </c>
      <c r="W47">
        <v>52.400000000000006</v>
      </c>
      <c r="X47" t="str">
        <v>Fail</v>
      </c>
      <c r="Y47" t="str">
        <v>C</v>
      </c>
      <c r="Z47" t="str">
        <v>NOT ELIGIBLE</v>
      </c>
    </row>
    <row r="48" spans="1:26" x14ac:dyDescent="0.2">
      <c r="A48" t="s">
        <v>226</v>
      </c>
      <c r="B48" t="s">
        <v>73</v>
      </c>
      <c r="C48">
        <v>71</v>
      </c>
      <c r="D48">
        <v>69</v>
      </c>
      <c r="E48">
        <v>51</v>
      </c>
      <c r="F48">
        <v>85</v>
      </c>
      <c r="G48">
        <v>52</v>
      </c>
      <c r="H48">
        <f>SUM(C48:G48)</f>
        <v>328</v>
      </c>
      <c r="I48">
        <f>H48/500*100</f>
        <v>65.600000000000009</v>
      </c>
      <c r="J48" t="str">
        <f>IF(AND(C48&gt;=35,D48&gt;=35,E48&gt;=35,F48&gt;=35,G48&gt;=35),"Pass","Fail")</f>
        <v>Pass</v>
      </c>
      <c r="K48" t="str" cm="1">
        <f t="array" ref="K48">_xlfn.IFS(I48&gt;=75,"A+",I48&gt;=60,"B",I48&gt;=50,"C",I48&gt;=35,"D",,"F")</f>
        <v>B</v>
      </c>
      <c r="L48" t="str">
        <f>IF(OR(AND(I48&gt;=75,J48="Pass"),I48&gt;=90),"ELIGIBLE","NOT ELIGIBLE")</f>
        <v>NOT ELIGIBLE</v>
      </c>
      <c r="O48" t="str">
        <v>STU025</v>
      </c>
      <c r="P48" t="str">
        <v>Shreya Deshmukh</v>
      </c>
      <c r="Q48">
        <v>76</v>
      </c>
      <c r="R48">
        <v>17</v>
      </c>
      <c r="S48">
        <v>54</v>
      </c>
      <c r="T48">
        <v>33</v>
      </c>
      <c r="U48">
        <v>77</v>
      </c>
      <c r="V48">
        <v>257</v>
      </c>
      <c r="W48">
        <v>51.4</v>
      </c>
      <c r="X48" t="str">
        <v>Fail</v>
      </c>
      <c r="Y48" t="str">
        <v>C</v>
      </c>
      <c r="Z48" t="str">
        <v>NOT ELIGIBLE</v>
      </c>
    </row>
    <row r="49" spans="1:26" x14ac:dyDescent="0.2">
      <c r="A49" t="s">
        <v>238</v>
      </c>
      <c r="B49" t="s">
        <v>208</v>
      </c>
      <c r="C49">
        <v>72</v>
      </c>
      <c r="D49">
        <v>77</v>
      </c>
      <c r="E49">
        <v>59</v>
      </c>
      <c r="F49">
        <v>71</v>
      </c>
      <c r="G49">
        <v>65</v>
      </c>
      <c r="H49">
        <f>SUM(C49:G49)</f>
        <v>344</v>
      </c>
      <c r="I49">
        <f>H49/500*100</f>
        <v>68.8</v>
      </c>
      <c r="J49" t="str">
        <f>IF(AND(C49&gt;=35,D49&gt;=35,E49&gt;=35,F49&gt;=35,G49&gt;=35),"Pass","Fail")</f>
        <v>Pass</v>
      </c>
      <c r="K49" t="str" cm="1">
        <f t="array" ref="K49">_xlfn.IFS(I49&gt;=75,"A+",I49&gt;=60,"B",I49&gt;=50,"C",I49&gt;=35,"D",,"F")</f>
        <v>B</v>
      </c>
      <c r="L49" t="str">
        <f>IF(OR(AND(I49&gt;=75,J49="Pass"),I49&gt;=90),"ELIGIBLE","NOT ELIGIBLE")</f>
        <v>NOT ELIGIBLE</v>
      </c>
      <c r="O49" t="str">
        <v>STU014</v>
      </c>
      <c r="P49" t="str">
        <v>Manya Gupta</v>
      </c>
      <c r="Q49">
        <v>24</v>
      </c>
      <c r="R49">
        <v>42</v>
      </c>
      <c r="S49">
        <v>81</v>
      </c>
      <c r="T49">
        <v>16</v>
      </c>
      <c r="U49">
        <v>92</v>
      </c>
      <c r="V49">
        <v>255</v>
      </c>
      <c r="W49">
        <v>51</v>
      </c>
      <c r="X49" t="str">
        <v>Fail</v>
      </c>
      <c r="Y49" t="str">
        <v>C</v>
      </c>
      <c r="Z49" t="str">
        <v>NOT ELIGIBLE</v>
      </c>
    </row>
    <row r="50" spans="1:26" x14ac:dyDescent="0.2">
      <c r="A50" t="s">
        <v>234</v>
      </c>
      <c r="B50" t="s">
        <v>204</v>
      </c>
      <c r="C50">
        <v>76</v>
      </c>
      <c r="D50">
        <v>17</v>
      </c>
      <c r="E50">
        <v>54</v>
      </c>
      <c r="F50">
        <v>33</v>
      </c>
      <c r="G50">
        <v>77</v>
      </c>
      <c r="H50">
        <f>SUM(C50:G50)</f>
        <v>257</v>
      </c>
      <c r="I50">
        <f>H50/500*100</f>
        <v>51.4</v>
      </c>
      <c r="J50" t="str">
        <f>IF(AND(C50&gt;=35,D50&gt;=35,E50&gt;=35,F50&gt;=35,G50&gt;=35),"Pass","Fail")</f>
        <v>Fail</v>
      </c>
      <c r="K50" t="str" cm="1">
        <f t="array" ref="K50">_xlfn.IFS(I50&gt;=75,"A+",I50&gt;=60,"B",I50&gt;=50,"C",I50&gt;=35,"D",,"F")</f>
        <v>C</v>
      </c>
      <c r="L50" t="str">
        <f>IF(OR(AND(I50&gt;=75,J50="Pass"),I50&gt;=90),"ELIGIBLE","NOT ELIGIBLE")</f>
        <v>NOT ELIGIBLE</v>
      </c>
      <c r="O50" t="str">
        <v>STU001</v>
      </c>
      <c r="P50" t="str">
        <v>Aarav Sharma</v>
      </c>
      <c r="Q50">
        <v>58</v>
      </c>
      <c r="R50">
        <v>50</v>
      </c>
      <c r="S50">
        <v>78</v>
      </c>
      <c r="T50">
        <v>16</v>
      </c>
      <c r="U50">
        <v>46</v>
      </c>
      <c r="V50">
        <v>248</v>
      </c>
      <c r="W50">
        <v>49.6</v>
      </c>
      <c r="X50" t="str">
        <v>Fail</v>
      </c>
      <c r="Y50" t="str">
        <v>D</v>
      </c>
      <c r="Z50" t="str">
        <v>NOT ELIGIBLE</v>
      </c>
    </row>
    <row r="51" spans="1:26" x14ac:dyDescent="0.2">
      <c r="A51" t="s">
        <v>221</v>
      </c>
      <c r="B51" t="s">
        <v>192</v>
      </c>
      <c r="C51">
        <v>79</v>
      </c>
      <c r="D51">
        <v>67</v>
      </c>
      <c r="E51">
        <v>82</v>
      </c>
      <c r="F51">
        <v>90</v>
      </c>
      <c r="G51">
        <v>30</v>
      </c>
      <c r="H51">
        <f>SUM(C51:G51)</f>
        <v>348</v>
      </c>
      <c r="I51">
        <f>H51/500*100</f>
        <v>69.599999999999994</v>
      </c>
      <c r="J51" t="str">
        <f>IF(AND(C51&gt;=35,D51&gt;=35,E51&gt;=35,F51&gt;=35,G51&gt;=35),"Pass","Fail")</f>
        <v>Fail</v>
      </c>
      <c r="K51" t="str" cm="1">
        <f t="array" ref="K51">_xlfn.IFS(I51&gt;=75,"A+",I51&gt;=60,"B",I51&gt;=50,"C",I51&gt;=35,"D",,"F")</f>
        <v>B</v>
      </c>
      <c r="L51" t="str">
        <f>IF(OR(AND(I51&gt;=75,J51="Pass"),I51&gt;=90),"ELIGIBLE","NOT ELIGIBLE")</f>
        <v>NOT ELIGIBLE</v>
      </c>
      <c r="O51" t="str">
        <v>STU003</v>
      </c>
      <c r="P51" t="str">
        <v>Akash Verma</v>
      </c>
      <c r="Q51">
        <v>100</v>
      </c>
      <c r="R51">
        <v>57</v>
      </c>
      <c r="S51">
        <v>38</v>
      </c>
      <c r="T51">
        <v>22</v>
      </c>
      <c r="U51">
        <v>31</v>
      </c>
      <c r="V51">
        <v>248</v>
      </c>
      <c r="W51">
        <v>49.6</v>
      </c>
      <c r="X51" t="str">
        <v>Fail</v>
      </c>
      <c r="Y51" t="str">
        <v>D</v>
      </c>
      <c r="Z51" t="str">
        <v>NOT ELIGIBLE</v>
      </c>
    </row>
    <row r="52" spans="1:26" x14ac:dyDescent="0.2">
      <c r="A52" t="s">
        <v>232</v>
      </c>
      <c r="B52" t="s">
        <v>202</v>
      </c>
      <c r="C52">
        <v>79</v>
      </c>
      <c r="D52">
        <v>94</v>
      </c>
      <c r="E52">
        <v>97</v>
      </c>
      <c r="F52">
        <v>75</v>
      </c>
      <c r="G52">
        <v>45</v>
      </c>
      <c r="H52">
        <f>SUM(C52:G52)</f>
        <v>390</v>
      </c>
      <c r="I52">
        <f>H52/500*100</f>
        <v>78</v>
      </c>
      <c r="J52" t="str">
        <f>IF(AND(C52&gt;=35,D52&gt;=35,E52&gt;=35,F52&gt;=35,G52&gt;=35),"Pass","Fail")</f>
        <v>Pass</v>
      </c>
      <c r="K52" t="str" cm="1">
        <f t="array" ref="K52">_xlfn.IFS(I52&gt;=75,"A+",I52&gt;=60,"B",I52&gt;=50,"C",I52&gt;=35,"D",,"F")</f>
        <v>A+</v>
      </c>
      <c r="L52" t="str">
        <f>IF(OR(AND(I52&gt;=75,J52="Pass"),I52&gt;=90),"ELIGIBLE","NOT ELIGIBLE")</f>
        <v>ELIGIBLE</v>
      </c>
      <c r="O52" t="str">
        <v>STU018</v>
      </c>
      <c r="P52" t="str">
        <v>Nikhil Deshmukh</v>
      </c>
      <c r="Q52">
        <v>54</v>
      </c>
      <c r="R52">
        <v>30</v>
      </c>
      <c r="S52">
        <v>31</v>
      </c>
      <c r="T52">
        <v>73</v>
      </c>
      <c r="U52">
        <v>52</v>
      </c>
      <c r="V52">
        <v>240</v>
      </c>
      <c r="W52">
        <v>48</v>
      </c>
      <c r="X52" t="str">
        <v>Fail</v>
      </c>
      <c r="Y52" t="str">
        <v>D</v>
      </c>
      <c r="Z52" t="str">
        <v>NOT ELIGIBLE</v>
      </c>
    </row>
    <row r="53" spans="1:26" x14ac:dyDescent="0.2">
      <c r="A53" t="s">
        <v>233</v>
      </c>
      <c r="B53" t="s">
        <v>203</v>
      </c>
      <c r="C53">
        <v>81</v>
      </c>
      <c r="D53">
        <v>96</v>
      </c>
      <c r="E53">
        <v>24</v>
      </c>
      <c r="F53">
        <v>24</v>
      </c>
      <c r="G53">
        <v>58</v>
      </c>
      <c r="H53">
        <f>SUM(C53:G53)</f>
        <v>283</v>
      </c>
      <c r="I53">
        <f>H53/500*100</f>
        <v>56.599999999999994</v>
      </c>
      <c r="J53" t="str">
        <f>IF(AND(C53&gt;=35,D53&gt;=35,E53&gt;=35,F53&gt;=35,G53&gt;=35),"Pass","Fail")</f>
        <v>Fail</v>
      </c>
      <c r="K53" t="str" cm="1">
        <f t="array" ref="K53">_xlfn.IFS(I53&gt;=75,"A+",I53&gt;=60,"B",I53&gt;=50,"C",I53&gt;=35,"D",,"F")</f>
        <v>C</v>
      </c>
      <c r="L53" t="str">
        <f>IF(OR(AND(I53&gt;=75,J53="Pass"),I53&gt;=90),"ELIGIBLE","NOT ELIGIBLE")</f>
        <v>NOT ELIGIBLE</v>
      </c>
      <c r="O53" t="str">
        <v>STU022</v>
      </c>
      <c r="P53" t="str">
        <v>Rohan Patil</v>
      </c>
      <c r="Q53">
        <v>53</v>
      </c>
      <c r="R53">
        <v>62</v>
      </c>
      <c r="S53">
        <v>49</v>
      </c>
      <c r="T53">
        <v>26</v>
      </c>
      <c r="U53">
        <v>21</v>
      </c>
      <c r="V53">
        <v>211</v>
      </c>
      <c r="W53">
        <v>42.199999999999996</v>
      </c>
      <c r="X53" t="str">
        <v>Fail</v>
      </c>
      <c r="Y53" t="str">
        <v>D</v>
      </c>
      <c r="Z53" t="str">
        <v>NOT ELIGIBLE</v>
      </c>
    </row>
    <row r="54" spans="1:26" x14ac:dyDescent="0.2">
      <c r="A54" t="s">
        <v>217</v>
      </c>
      <c r="B54" t="s">
        <v>188</v>
      </c>
      <c r="C54">
        <v>82</v>
      </c>
      <c r="D54">
        <v>92</v>
      </c>
      <c r="E54">
        <v>79</v>
      </c>
      <c r="F54">
        <v>54</v>
      </c>
      <c r="G54">
        <v>33</v>
      </c>
      <c r="H54">
        <f>SUM(C54:G54)</f>
        <v>340</v>
      </c>
      <c r="I54">
        <f>H54/500*100</f>
        <v>68</v>
      </c>
      <c r="J54" t="str">
        <f>IF(AND(C54&gt;=35,D54&gt;=35,E54&gt;=35,F54&gt;=35,G54&gt;=35),"Pass","Fail")</f>
        <v>Fail</v>
      </c>
      <c r="K54" t="str" cm="1">
        <f t="array" ref="K54">_xlfn.IFS(I54&gt;=75,"A+",I54&gt;=60,"B",I54&gt;=50,"C",I54&gt;=35,"D",,"F")</f>
        <v>B</v>
      </c>
      <c r="L54" t="str">
        <f>IF(OR(AND(I54&gt;=75,J54="Pass"),I54&gt;=90),"ELIGIBLE","NOT ELIGIBLE")</f>
        <v>NOT ELIGIBLE</v>
      </c>
      <c r="O54" t="str">
        <v>STU007</v>
      </c>
      <c r="P54" t="str">
        <v>Atharv More</v>
      </c>
      <c r="Q54">
        <v>63</v>
      </c>
      <c r="R54">
        <v>14</v>
      </c>
      <c r="S54">
        <v>66</v>
      </c>
      <c r="T54">
        <v>11</v>
      </c>
      <c r="U54">
        <v>56</v>
      </c>
      <c r="V54">
        <v>210</v>
      </c>
      <c r="W54">
        <v>42</v>
      </c>
      <c r="X54" t="str">
        <v>Fail</v>
      </c>
      <c r="Y54" t="str">
        <v>D</v>
      </c>
      <c r="Z54" t="str">
        <v>NOT ELIGIBLE</v>
      </c>
    </row>
    <row r="55" spans="1:26" x14ac:dyDescent="0.2">
      <c r="A55" t="s">
        <v>212</v>
      </c>
      <c r="B55" t="s">
        <v>183</v>
      </c>
      <c r="C55">
        <v>100</v>
      </c>
      <c r="D55">
        <v>57</v>
      </c>
      <c r="E55">
        <v>38</v>
      </c>
      <c r="F55">
        <v>22</v>
      </c>
      <c r="G55">
        <v>31</v>
      </c>
      <c r="H55">
        <f>SUM(C55:G55)</f>
        <v>248</v>
      </c>
      <c r="I55">
        <f>H55/500*100</f>
        <v>49.6</v>
      </c>
      <c r="J55" t="str">
        <f>IF(AND(C55&gt;=35,D55&gt;=35,E55&gt;=35,F55&gt;=35,G55&gt;=35),"Pass","Fail")</f>
        <v>Fail</v>
      </c>
      <c r="K55" t="str" cm="1">
        <f t="array" ref="K55">_xlfn.IFS(I55&gt;=75,"A+",I55&gt;=60,"B",I55&gt;=50,"C",I55&gt;=35,"D",,"F")</f>
        <v>D</v>
      </c>
      <c r="L55" t="str">
        <f>IF(OR(AND(I55&gt;=75,J55="Pass"),I55&gt;=90),"ELIGIBLE","NOT ELIGIBLE")</f>
        <v>NOT ELIGIBLE</v>
      </c>
      <c r="O55" t="str">
        <v>STU016</v>
      </c>
      <c r="P55" t="str">
        <v>Meera Kulkarni</v>
      </c>
      <c r="Q55">
        <v>17</v>
      </c>
      <c r="R55">
        <v>10</v>
      </c>
      <c r="S55">
        <v>55</v>
      </c>
      <c r="T55">
        <v>38</v>
      </c>
      <c r="U55">
        <v>81</v>
      </c>
      <c r="V55">
        <v>201</v>
      </c>
      <c r="W55">
        <v>40.200000000000003</v>
      </c>
      <c r="X55" t="str">
        <v>Fail</v>
      </c>
      <c r="Y55" t="str">
        <v>D</v>
      </c>
      <c r="Z55" t="str">
        <v>NOT ELIGIBLE</v>
      </c>
    </row>
    <row r="56" spans="1:26" x14ac:dyDescent="0.2">
      <c r="E56"/>
      <c r="F56"/>
      <c r="G56"/>
      <c r="O56" t="str">
        <v>STU013</v>
      </c>
      <c r="P56" t="str">
        <v>Krish Shah</v>
      </c>
      <c r="Q56">
        <v>55</v>
      </c>
      <c r="R56">
        <v>23</v>
      </c>
      <c r="S56">
        <v>37</v>
      </c>
      <c r="T56">
        <v>36</v>
      </c>
      <c r="U56">
        <v>48</v>
      </c>
      <c r="V56">
        <v>199</v>
      </c>
      <c r="W56">
        <v>39.800000000000004</v>
      </c>
      <c r="X56" t="str">
        <v>Fail</v>
      </c>
      <c r="Y56" t="str">
        <v>D</v>
      </c>
      <c r="Z56" t="str">
        <v>NOT ELIGIBLE</v>
      </c>
    </row>
    <row r="57" spans="1:26" x14ac:dyDescent="0.2">
      <c r="I57" t="s">
        <v>240</v>
      </c>
      <c r="O57" t="str">
        <v>STU026</v>
      </c>
      <c r="P57" t="str">
        <v>Siddharth Mehta</v>
      </c>
      <c r="Q57">
        <v>11</v>
      </c>
      <c r="R57">
        <v>33</v>
      </c>
      <c r="S57">
        <v>54</v>
      </c>
      <c r="T57">
        <v>53</v>
      </c>
      <c r="U57">
        <v>16</v>
      </c>
      <c r="V57">
        <v>167</v>
      </c>
      <c r="W57">
        <v>33.4</v>
      </c>
      <c r="X57" t="str">
        <v>Fail</v>
      </c>
      <c r="Y57" t="e">
        <v>#N/A</v>
      </c>
      <c r="Z57" t="str">
        <v>NOT ELIGIBLE</v>
      </c>
    </row>
    <row r="58" spans="1:26" x14ac:dyDescent="0.2">
      <c r="B58" t="s">
        <v>243</v>
      </c>
      <c r="I58">
        <f>AVERAGE(I26,I55)</f>
        <v>41.5</v>
      </c>
    </row>
    <row r="59" spans="1:26" x14ac:dyDescent="0.2">
      <c r="B59">
        <f>COUNT(C26:C55)</f>
        <v>30</v>
      </c>
      <c r="I59" t="s">
        <v>241</v>
      </c>
    </row>
    <row r="60" spans="1:26" x14ac:dyDescent="0.2">
      <c r="I60">
        <f>MAX(I26:I55)</f>
        <v>85.8</v>
      </c>
    </row>
    <row r="61" spans="1:26" x14ac:dyDescent="0.2">
      <c r="I61" t="s">
        <v>242</v>
      </c>
    </row>
    <row r="62" spans="1:26" x14ac:dyDescent="0.2">
      <c r="I62">
        <f>MIN(I26:I55)</f>
        <v>33.4</v>
      </c>
    </row>
    <row r="68" spans="1:4" x14ac:dyDescent="0.2">
      <c r="A68" s="17"/>
      <c r="B68" s="17"/>
      <c r="C68" s="17"/>
      <c r="D68" s="17"/>
    </row>
  </sheetData>
  <sortState xmlns:xlrd2="http://schemas.microsoft.com/office/spreadsheetml/2017/richdata2" ref="A25:N55">
    <sortCondition ref="C26:C55"/>
  </sortState>
  <conditionalFormatting sqref="J26:J56">
    <cfRule type="containsText" dxfId="2" priority="6" operator="containsText" text="fail">
      <formula>NOT(ISERROR(SEARCH("fail",J26)))</formula>
    </cfRule>
  </conditionalFormatting>
  <conditionalFormatting sqref="I26:I56 I5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{EB303FF0-B83F-7449-8A00-26EA3294AD08}</x14:id>
        </ext>
      </extLst>
    </cfRule>
    <cfRule type="cellIs" dxfId="1" priority="4" operator="lessThan">
      <formula>35</formula>
    </cfRule>
    <cfRule type="cellIs" dxfId="0" priority="5" operator="greaterThan">
      <formula>75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303FF0-B83F-7449-8A00-26EA3294AD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I26:I56 I58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A049-B33C-5B49-B6C5-0775BE784A27}">
  <dimension ref="A1:N1"/>
  <sheetViews>
    <sheetView workbookViewId="0">
      <selection activeCell="A2" sqref="A2:G2"/>
    </sheetView>
  </sheetViews>
  <sheetFormatPr baseColWidth="10" defaultRowHeight="16" x14ac:dyDescent="0.2"/>
  <sheetData>
    <row r="1" spans="1:14" x14ac:dyDescent="0.2">
      <c r="A1" t="s">
        <v>169</v>
      </c>
      <c r="B1" t="s">
        <v>170</v>
      </c>
      <c r="C1" t="s">
        <v>171</v>
      </c>
      <c r="D1" t="s">
        <v>172</v>
      </c>
      <c r="E1" s="5" t="s">
        <v>173</v>
      </c>
      <c r="F1" s="5" t="s">
        <v>101</v>
      </c>
      <c r="G1" s="5" t="s">
        <v>174</v>
      </c>
      <c r="H1" t="s">
        <v>175</v>
      </c>
      <c r="I1" t="s">
        <v>176</v>
      </c>
      <c r="J1" t="s">
        <v>32</v>
      </c>
      <c r="K1" t="s">
        <v>177</v>
      </c>
      <c r="L1" t="s">
        <v>178</v>
      </c>
      <c r="M1" t="s">
        <v>179</v>
      </c>
      <c r="N1" t="s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DAY 1</vt:lpstr>
      <vt:lpstr>DAY 2</vt:lpstr>
      <vt:lpstr>Day 2 condistional formating </vt:lpstr>
      <vt:lpstr>Day 3 condistional formating 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2026-09-30T20:44:50Z</dcterms:modified>
</cp:coreProperties>
</file>