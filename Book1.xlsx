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5405C60B-CBF7-3549-B389-80E630D22455}" xr6:coauthVersionLast="47" xr6:coauthVersionMax="47" xr10:uidLastSave="{00000000-0000-0000-0000-000000000000}"/>
  <bookViews>
    <workbookView xWindow="0" yWindow="0" windowWidth="25600" windowHeight="16000" firstSheet="25" activeTab="30" xr2:uid="{A4290DCB-8409-744D-9DE6-DF882A268D57}"/>
  </bookViews>
  <sheets>
    <sheet name="DAY 1" sheetId="1" r:id="rId1"/>
    <sheet name="DAY 2" sheetId="2" r:id="rId2"/>
    <sheet name="Day 2 condistional formating " sheetId="3" r:id="rId3"/>
    <sheet name="Day 3 condistional formating " sheetId="4" r:id="rId4"/>
    <sheet name="Sheet3" sheetId="8" r:id="rId5"/>
    <sheet name="Sheet2" sheetId="5" r:id="rId6"/>
    <sheet name="DUMMY DATASET" sheetId="6" r:id="rId7"/>
    <sheet name="Data Validation" sheetId="7" r:id="rId8"/>
    <sheet name="SUM IF" sheetId="9" r:id="rId9"/>
    <sheet name="SUMIFS" sheetId="10" r:id="rId10"/>
    <sheet name="COUNT COUNTA COUNTBLANK" sheetId="11" r:id="rId11"/>
    <sheet name="COUNTIF" sheetId="12" r:id="rId12"/>
    <sheet name="COUNTIFS" sheetId="13" r:id="rId13"/>
    <sheet name="AVERAGEIF" sheetId="14" r:id="rId14"/>
    <sheet name="AVERAGEIFS" sheetId="15" r:id="rId15"/>
    <sheet name="LEFT() RIGTH() FIND()" sheetId="16" r:id="rId16"/>
    <sheet name="REPT() SUBSTITUTE()" sheetId="17" r:id="rId17"/>
    <sheet name="CELL REFERENCE" sheetId="18" r:id="rId18"/>
    <sheet name="INDEX()&amp; MATCH()" sheetId="19" r:id="rId19"/>
    <sheet name="FREQUENCY()" sheetId="21" r:id="rId20"/>
    <sheet name="LOOKUP" sheetId="22" r:id="rId21"/>
    <sheet name="VLOOKUP_1" sheetId="23" r:id="rId22"/>
    <sheet name="VLOOKUP_2" sheetId="24" r:id="rId23"/>
    <sheet name="Nested_VLOOKUP" sheetId="25" r:id="rId24"/>
    <sheet name="RIGHT_TO_LEFT_VLOOKUP" sheetId="26" r:id="rId25"/>
    <sheet name="DOUBLE_VLOOKUP" sheetId="27" r:id="rId26"/>
    <sheet name="MULTIPLE_VLOOKUP" sheetId="28" r:id="rId27"/>
    <sheet name="XLOOKUP_1" sheetId="29" r:id="rId28"/>
    <sheet name="XLOOKUP_IF_NOT_FOUND" sheetId="30" r:id="rId29"/>
    <sheet name="XLOOKUP_MATCH_TYPE," sheetId="31" r:id="rId30"/>
    <sheet name="XLOOKUP_SEARCH_MODE" sheetId="32" r:id="rId31"/>
  </sheets>
  <definedNames>
    <definedName name="_xlnm._FilterDatabase" localSheetId="5" hidden="1">Sheet2!$Z$1:$AS$21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32" l="1"/>
  <c r="I3" i="32"/>
  <c r="I12" i="31"/>
  <c r="H4" i="30" a="1"/>
  <c r="H5" i="30" a="1"/>
  <c r="H6" i="30" a="1"/>
  <c r="H3" i="30" a="1"/>
  <c r="J25" i="29" a="1"/>
  <c r="J26" i="29" a="1"/>
  <c r="J27" i="29" a="1"/>
  <c r="J24" i="29" a="1"/>
  <c r="J17" i="29" a="1"/>
  <c r="J15" i="29" a="1"/>
  <c r="J16" i="29" a="1"/>
  <c r="J4" i="29" a="1"/>
  <c r="J14" i="29"/>
  <c r="J5" i="29" a="1"/>
  <c r="J6" i="29" a="1"/>
  <c r="J3" i="29"/>
  <c r="J21" i="27"/>
  <c r="J22" i="27"/>
  <c r="J23" i="27"/>
  <c r="J20" i="27"/>
  <c r="H19" i="27"/>
  <c r="I30" i="26"/>
  <c r="I31" i="26"/>
  <c r="I32" i="26"/>
  <c r="I29" i="26"/>
  <c r="H35" i="26"/>
  <c r="L28" i="26" a="1"/>
  <c r="H16" i="28"/>
  <c r="H17" i="28"/>
  <c r="I3" i="19" a="1"/>
  <c r="J12" i="27"/>
  <c r="J13" i="27"/>
  <c r="J14" i="27"/>
  <c r="J11" i="27"/>
  <c r="H10" i="27"/>
  <c r="H12" i="26"/>
  <c r="L1" i="26" a="1"/>
  <c r="M9" i="25"/>
  <c r="J19" i="23"/>
  <c r="J20" i="23"/>
  <c r="J21" i="23"/>
  <c r="J18" i="23"/>
  <c r="J5" i="23"/>
  <c r="H5" i="23"/>
  <c r="H6" i="23"/>
  <c r="H7" i="23"/>
  <c r="H8" i="23"/>
  <c r="M7" i="22"/>
  <c r="D2" i="21" a="1"/>
  <c r="H8" i="19"/>
  <c r="G8" i="19"/>
  <c r="J5" i="18"/>
  <c r="K5" i="18"/>
  <c r="L5" i="18"/>
  <c r="I7" i="18"/>
  <c r="I8" i="18"/>
  <c r="J8" i="18"/>
  <c r="K8" i="18"/>
  <c r="L8" i="18"/>
  <c r="K7" i="18"/>
  <c r="L7" i="18"/>
  <c r="J7" i="18"/>
  <c r="I6" i="18"/>
  <c r="J6" i="18" s="1"/>
  <c r="K6" i="18" s="1"/>
  <c r="L6" i="18" s="1"/>
  <c r="I5" i="18"/>
  <c r="E3" i="18"/>
  <c r="E4" i="18"/>
  <c r="E5" i="18"/>
  <c r="E6" i="18"/>
  <c r="E2" i="18"/>
  <c r="D3" i="18"/>
  <c r="D4" i="18"/>
  <c r="D5" i="18"/>
  <c r="D6" i="18"/>
  <c r="D2" i="18"/>
  <c r="H3" i="17"/>
  <c r="H5" i="17"/>
  <c r="H4" i="17"/>
  <c r="C4" i="17"/>
  <c r="C5" i="17"/>
  <c r="C6" i="17"/>
  <c r="C7" i="17"/>
  <c r="C3" i="17"/>
  <c r="M20" i="15"/>
  <c r="M18" i="15"/>
  <c r="M16" i="15"/>
  <c r="G3" i="16"/>
  <c r="G4" i="16"/>
  <c r="G5" i="16"/>
  <c r="G6" i="16"/>
  <c r="G2" i="16"/>
  <c r="F3" i="16"/>
  <c r="F4" i="16"/>
  <c r="F5" i="16"/>
  <c r="F6" i="16"/>
  <c r="F2" i="16"/>
  <c r="E3" i="16"/>
  <c r="E4" i="16"/>
  <c r="E5" i="16"/>
  <c r="E6" i="16"/>
  <c r="E2" i="16"/>
  <c r="D3" i="16"/>
  <c r="D4" i="16"/>
  <c r="D5" i="16"/>
  <c r="D6" i="16"/>
  <c r="D2" i="16"/>
  <c r="C3" i="16"/>
  <c r="C4" i="16"/>
  <c r="C5" i="16"/>
  <c r="C6" i="16"/>
  <c r="C2" i="16"/>
  <c r="M22" i="15"/>
  <c r="M24" i="15"/>
  <c r="M26" i="15"/>
  <c r="M14" i="15"/>
  <c r="M12" i="15"/>
  <c r="M10" i="15"/>
  <c r="M8" i="15"/>
  <c r="M6" i="15"/>
  <c r="M4" i="15"/>
  <c r="M2" i="15"/>
  <c r="M28" i="14"/>
  <c r="M26" i="14"/>
  <c r="M24" i="14"/>
  <c r="M22" i="14"/>
  <c r="M20" i="14"/>
  <c r="M18" i="14"/>
  <c r="M16" i="14"/>
  <c r="M14" i="14"/>
  <c r="M12" i="14"/>
  <c r="M10" i="14"/>
  <c r="M8" i="14"/>
  <c r="M6" i="14"/>
  <c r="M4" i="14"/>
  <c r="M2" i="14"/>
  <c r="M16" i="13"/>
  <c r="M26" i="13"/>
  <c r="M24" i="13"/>
  <c r="M22" i="13"/>
  <c r="M20" i="13"/>
  <c r="M18" i="13"/>
  <c r="M14" i="13"/>
  <c r="M12" i="13"/>
  <c r="M10" i="13"/>
  <c r="M8" i="13"/>
  <c r="M6" i="13"/>
  <c r="Q4" i="13"/>
  <c r="Q2" i="13"/>
  <c r="N28" i="12"/>
  <c r="N26" i="12"/>
  <c r="N24" i="12"/>
  <c r="N22" i="12"/>
  <c r="N20" i="12"/>
  <c r="N18" i="12"/>
  <c r="N16" i="12"/>
  <c r="N14" i="12"/>
  <c r="N12" i="12"/>
  <c r="N10" i="12"/>
  <c r="N8" i="12"/>
  <c r="N6" i="12"/>
  <c r="N4" i="12"/>
  <c r="N2" i="12"/>
  <c r="M24" i="10"/>
  <c r="M22" i="10"/>
  <c r="F6" i="11"/>
  <c r="F4" i="11"/>
  <c r="F2" i="11"/>
  <c r="M20" i="10"/>
  <c r="M18" i="10"/>
  <c r="M16" i="10"/>
  <c r="M14" i="10"/>
  <c r="M12" i="10"/>
  <c r="M10" i="10"/>
  <c r="M8" i="10"/>
  <c r="M6" i="10"/>
  <c r="M2" i="10"/>
  <c r="M4" i="10"/>
  <c r="M28" i="9"/>
  <c r="M26" i="9"/>
  <c r="M24" i="9"/>
  <c r="M18" i="9"/>
  <c r="M14" i="9"/>
  <c r="M16" i="9"/>
  <c r="M22" i="9"/>
  <c r="M20" i="9"/>
  <c r="M12" i="9"/>
  <c r="M10" i="9"/>
  <c r="M8" i="9"/>
  <c r="M6" i="9"/>
  <c r="M4" i="9"/>
  <c r="M2" i="9"/>
  <c r="W7" i="9"/>
  <c r="W5" i="9"/>
  <c r="W3" i="9"/>
  <c r="Y2" i="5"/>
  <c r="Z2" i="5" a="1"/>
  <c r="Y4" i="5"/>
  <c r="J26" i="5"/>
  <c r="B59" i="5"/>
  <c r="H33" i="5"/>
  <c r="I33" i="5" s="1"/>
  <c r="J27" i="5"/>
  <c r="J55" i="5"/>
  <c r="J28" i="5"/>
  <c r="J34" i="5"/>
  <c r="J46" i="5"/>
  <c r="J43" i="5"/>
  <c r="J54" i="5"/>
  <c r="J30" i="5"/>
  <c r="J47" i="5"/>
  <c r="J44" i="5"/>
  <c r="J51" i="5"/>
  <c r="J41" i="5"/>
  <c r="J31" i="5"/>
  <c r="J36" i="5"/>
  <c r="J29" i="5"/>
  <c r="J48" i="5"/>
  <c r="J40" i="5"/>
  <c r="J35" i="5"/>
  <c r="J33" i="5"/>
  <c r="J45" i="5"/>
  <c r="J39" i="5"/>
  <c r="J52" i="5"/>
  <c r="J53" i="5"/>
  <c r="J50" i="5"/>
  <c r="J32" i="5"/>
  <c r="J38" i="5"/>
  <c r="J49" i="5"/>
  <c r="J37" i="5"/>
  <c r="J42" i="5"/>
  <c r="H27" i="5"/>
  <c r="I27" i="5" s="1"/>
  <c r="H55" i="5"/>
  <c r="I55" i="5" s="1"/>
  <c r="H28" i="5"/>
  <c r="I28" i="5" s="1"/>
  <c r="H34" i="5"/>
  <c r="I34" i="5" s="1"/>
  <c r="H46" i="5"/>
  <c r="I46" i="5" s="1"/>
  <c r="H43" i="5"/>
  <c r="I43" i="5" s="1"/>
  <c r="H54" i="5"/>
  <c r="I54" i="5" s="1"/>
  <c r="H30" i="5"/>
  <c r="I30" i="5" s="1"/>
  <c r="H47" i="5"/>
  <c r="I47" i="5" s="1"/>
  <c r="H44" i="5"/>
  <c r="I44" i="5" s="1"/>
  <c r="H51" i="5"/>
  <c r="I51" i="5" s="1"/>
  <c r="H41" i="5"/>
  <c r="I41" i="5" s="1"/>
  <c r="H31" i="5"/>
  <c r="I31" i="5" s="1"/>
  <c r="H36" i="5"/>
  <c r="I36" i="5" s="1"/>
  <c r="H29" i="5"/>
  <c r="I29" i="5" s="1"/>
  <c r="H48" i="5"/>
  <c r="I48" i="5" s="1"/>
  <c r="H40" i="5"/>
  <c r="I40" i="5" s="1"/>
  <c r="H35" i="5"/>
  <c r="I35" i="5" s="1"/>
  <c r="H45" i="5"/>
  <c r="I45" i="5" s="1"/>
  <c r="H39" i="5"/>
  <c r="I39" i="5" s="1"/>
  <c r="H52" i="5"/>
  <c r="I52" i="5" s="1"/>
  <c r="H53" i="5"/>
  <c r="I53" i="5" s="1"/>
  <c r="H50" i="5"/>
  <c r="I50" i="5" s="1"/>
  <c r="H26" i="5"/>
  <c r="I26" i="5" s="1"/>
  <c r="H32" i="5"/>
  <c r="I32" i="5" s="1"/>
  <c r="H38" i="5"/>
  <c r="I38" i="5" s="1"/>
  <c r="H49" i="5"/>
  <c r="I49" i="5" s="1"/>
  <c r="H37" i="5"/>
  <c r="I37" i="5" s="1"/>
  <c r="H42" i="5"/>
  <c r="I42" i="5" s="1"/>
  <c r="O4" i="2" a="1"/>
  <c r="O5" i="2" a="1"/>
  <c r="O6" i="2" a="1"/>
  <c r="O3" i="2" a="1"/>
  <c r="N4" i="2"/>
  <c r="N5" i="2"/>
  <c r="N6" i="2"/>
  <c r="N3" i="2"/>
  <c r="L6" i="2"/>
  <c r="K6" i="2"/>
  <c r="H6" i="2"/>
  <c r="G6" i="2"/>
  <c r="F6" i="2"/>
  <c r="E6" i="2"/>
  <c r="I6" i="2" s="1"/>
  <c r="L5" i="2"/>
  <c r="K5" i="2"/>
  <c r="H5" i="2"/>
  <c r="G5" i="2"/>
  <c r="F5" i="2"/>
  <c r="E5" i="2"/>
  <c r="I5" i="2" s="1"/>
  <c r="L4" i="2"/>
  <c r="K4" i="2"/>
  <c r="H4" i="2"/>
  <c r="G4" i="2"/>
  <c r="F4" i="2"/>
  <c r="E4" i="2"/>
  <c r="I4" i="2" s="1"/>
  <c r="L3" i="2"/>
  <c r="K3" i="2"/>
  <c r="H3" i="2"/>
  <c r="G3" i="2"/>
  <c r="F3" i="2"/>
  <c r="E3" i="2"/>
  <c r="I3" i="2" s="1"/>
  <c r="K28" i="1"/>
  <c r="K29" i="1"/>
  <c r="K30" i="1"/>
  <c r="K31" i="1"/>
  <c r="K32" i="1"/>
  <c r="K33" i="1"/>
  <c r="K34" i="1"/>
  <c r="K35" i="1"/>
  <c r="K36" i="1"/>
  <c r="K27" i="1"/>
  <c r="H28" i="1"/>
  <c r="H29" i="1"/>
  <c r="H30" i="1"/>
  <c r="H31" i="1"/>
  <c r="H32" i="1"/>
  <c r="H33" i="1"/>
  <c r="H34" i="1"/>
  <c r="H35" i="1"/>
  <c r="H36" i="1"/>
  <c r="H27" i="1"/>
  <c r="G28" i="1"/>
  <c r="G29" i="1"/>
  <c r="G30" i="1"/>
  <c r="G31" i="1"/>
  <c r="G32" i="1"/>
  <c r="G33" i="1"/>
  <c r="G34" i="1"/>
  <c r="G35" i="1"/>
  <c r="G36" i="1"/>
  <c r="G27" i="1"/>
  <c r="F28" i="1"/>
  <c r="F29" i="1"/>
  <c r="F30" i="1"/>
  <c r="F31" i="1"/>
  <c r="F32" i="1"/>
  <c r="F33" i="1"/>
  <c r="F34" i="1"/>
  <c r="F35" i="1"/>
  <c r="F36" i="1"/>
  <c r="F27" i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27" i="1"/>
  <c r="I27" i="1" s="1"/>
  <c r="L18" i="1"/>
  <c r="L19" i="1"/>
  <c r="L20" i="1"/>
  <c r="L17" i="1"/>
  <c r="K18" i="1"/>
  <c r="K19" i="1"/>
  <c r="K20" i="1"/>
  <c r="K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I18" i="1" s="1"/>
  <c r="J18" i="1" s="1"/>
  <c r="E19" i="1"/>
  <c r="I19" i="1" s="1"/>
  <c r="J19" i="1" s="1"/>
  <c r="E20" i="1"/>
  <c r="I20" i="1" s="1"/>
  <c r="J20" i="1" s="1"/>
  <c r="E17" i="1"/>
  <c r="I17" i="1" s="1"/>
  <c r="J17" i="1" s="1"/>
  <c r="I2" i="26" l="1"/>
  <c r="I3" i="26"/>
  <c r="I4" i="26"/>
  <c r="I5" i="26"/>
  <c r="L9" i="18"/>
  <c r="K9" i="18"/>
  <c r="J9" i="18"/>
  <c r="I9" i="18"/>
  <c r="L27" i="5"/>
  <c r="K27" i="5" a="1"/>
  <c r="L55" i="5"/>
  <c r="K55" i="5" a="1"/>
  <c r="L28" i="5"/>
  <c r="K28" i="5" a="1"/>
  <c r="L34" i="5"/>
  <c r="K34" i="5" a="1"/>
  <c r="L46" i="5"/>
  <c r="K46" i="5" a="1"/>
  <c r="L43" i="5"/>
  <c r="K43" i="5" a="1"/>
  <c r="L54" i="5"/>
  <c r="K54" i="5" a="1"/>
  <c r="L30" i="5"/>
  <c r="K30" i="5" a="1"/>
  <c r="K47" i="5" a="1"/>
  <c r="L47" i="5"/>
  <c r="L44" i="5"/>
  <c r="K44" i="5" a="1"/>
  <c r="K51" i="5" a="1"/>
  <c r="L51" i="5"/>
  <c r="L41" i="5"/>
  <c r="K41" i="5" a="1"/>
  <c r="L31" i="5"/>
  <c r="K31" i="5" a="1"/>
  <c r="L36" i="5"/>
  <c r="K36" i="5" a="1"/>
  <c r="L29" i="5"/>
  <c r="K29" i="5" a="1"/>
  <c r="L48" i="5"/>
  <c r="K48" i="5" a="1"/>
  <c r="L40" i="5"/>
  <c r="K40" i="5" a="1"/>
  <c r="K35" i="5" a="1"/>
  <c r="L35" i="5"/>
  <c r="L45" i="5"/>
  <c r="K45" i="5" a="1"/>
  <c r="L39" i="5"/>
  <c r="K39" i="5" a="1"/>
  <c r="L52" i="5"/>
  <c r="K52" i="5" a="1"/>
  <c r="L53" i="5"/>
  <c r="K53" i="5" a="1"/>
  <c r="L50" i="5"/>
  <c r="K50" i="5" a="1"/>
  <c r="L32" i="5"/>
  <c r="K32" i="5" a="1"/>
  <c r="L38" i="5"/>
  <c r="K38" i="5" a="1"/>
  <c r="L49" i="5"/>
  <c r="K49" i="5" a="1"/>
  <c r="L37" i="5"/>
  <c r="K37" i="5" a="1"/>
  <c r="I62" i="5"/>
  <c r="K42" i="5" a="1"/>
  <c r="L42" i="5"/>
  <c r="I60" i="5"/>
  <c r="I58" i="5"/>
  <c r="L26" i="5"/>
  <c r="K26" i="5" a="1"/>
  <c r="L33" i="5"/>
  <c r="K33" i="5" a="1"/>
  <c r="J6" i="2"/>
  <c r="M6" i="2"/>
  <c r="J5" i="2"/>
  <c r="M5" i="2"/>
  <c r="J4" i="2"/>
  <c r="M4" i="2"/>
  <c r="M3" i="2"/>
  <c r="J3" i="2"/>
  <c r="O28" i="5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<sst xmlns="http://schemas.openxmlformats.org/spreadsheetml/2006/main" count="2924" uniqueCount="585">
  <si>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</si>
  <si>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</si>
  <si>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</si>
  <si>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</si>
  <si>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</si>
  <si>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</si>
  <si>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</si>
  <si>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</si>
  <si>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</si>
  <si>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</si>
  <si>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</si>
  <si>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</si>
  <si>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</si>
  <si>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</si>
  <si>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</si>
  <si>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</si>
  <si>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</si>
  <si>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</si>
  <si>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</si>
  <si>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</si>
  <si>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</si>
  <si>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</si>
  <si>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</si>
  <si>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</si>
  <si>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</si>
  <si>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</si>
  <si>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</si>
  <si>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</si>
  <si>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</si>
  <si>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</si>
  <si>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</si>
  <si>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</si>
  <si>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</si>
  <si>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</si>
  <si>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Result AND </t>
  </si>
  <si>
    <t xml:space="preserve">result </t>
  </si>
  <si>
    <t xml:space="preserve">total </t>
  </si>
  <si>
    <t xml:space="preserve">avg </t>
  </si>
  <si>
    <t>result and</t>
  </si>
  <si>
    <t xml:space="preserve">if ,if AND , IF OR </t>
  </si>
  <si>
    <t>NESTED IF AND  IFS FUNCTIONS</t>
  </si>
  <si>
    <t>Result and Grade</t>
  </si>
  <si>
    <t>nested IFS</t>
  </si>
  <si>
    <t xml:space="preserve">Grade Nested IF </t>
  </si>
  <si>
    <t>Employee_ID</t>
  </si>
  <si>
    <t>Employee_Name</t>
  </si>
  <si>
    <t>Department</t>
  </si>
  <si>
    <t>Region</t>
  </si>
  <si>
    <t>Join_Date</t>
  </si>
  <si>
    <t>Last_Login</t>
  </si>
  <si>
    <t>Project_Deadline</t>
  </si>
  <si>
    <t>Sales_Target</t>
  </si>
  <si>
    <t>Actual_Sales</t>
  </si>
  <si>
    <t>Profit_Percent</t>
  </si>
  <si>
    <t>Attendance_Percent</t>
  </si>
  <si>
    <t>Tasks_Completed</t>
  </si>
  <si>
    <t>Total_Tasks</t>
  </si>
  <si>
    <t>Performance_Rating</t>
  </si>
  <si>
    <t>Salary</t>
  </si>
  <si>
    <t>Bonus</t>
  </si>
  <si>
    <t>Leave_Days</t>
  </si>
  <si>
    <t>Status</t>
  </si>
  <si>
    <t>Email_Verified</t>
  </si>
  <si>
    <t>Remarks</t>
  </si>
  <si>
    <t>E001</t>
  </si>
  <si>
    <t>Aarav Mehta</t>
  </si>
  <si>
    <t>Sales</t>
  </si>
  <si>
    <t>West</t>
  </si>
  <si>
    <t>1/15/2023</t>
  </si>
  <si>
    <t>Completed</t>
  </si>
  <si>
    <t>Yes</t>
  </si>
  <si>
    <t>Excellent</t>
  </si>
  <si>
    <t>E002</t>
  </si>
  <si>
    <t>Neha Sharma</t>
  </si>
  <si>
    <t>HR</t>
  </si>
  <si>
    <t>North</t>
  </si>
  <si>
    <t>5/28/2026</t>
  </si>
  <si>
    <t>Pending</t>
  </si>
  <si>
    <t>No</t>
  </si>
  <si>
    <t>Low Performance</t>
  </si>
  <si>
    <t>E003</t>
  </si>
  <si>
    <t>Rohan Iyer</t>
  </si>
  <si>
    <t>IT</t>
  </si>
  <si>
    <t>South</t>
  </si>
  <si>
    <t>7/21/2021</t>
  </si>
  <si>
    <t>5/30/2026</t>
  </si>
  <si>
    <t>Top Performer</t>
  </si>
  <si>
    <t>E004</t>
  </si>
  <si>
    <t>Priya Nair</t>
  </si>
  <si>
    <t>Finance</t>
  </si>
  <si>
    <t>East</t>
  </si>
  <si>
    <t>4/20/2026</t>
  </si>
  <si>
    <t>Delayed</t>
  </si>
  <si>
    <t>Consistent</t>
  </si>
  <si>
    <t>E005</t>
  </si>
  <si>
    <t>Aditya Rao</t>
  </si>
  <si>
    <t>5/27/2026</t>
  </si>
  <si>
    <t>5/29/2026</t>
  </si>
  <si>
    <t>Duplicate ID</t>
  </si>
  <si>
    <t>E006</t>
  </si>
  <si>
    <t>Kavya Patel</t>
  </si>
  <si>
    <t>Marketing</t>
  </si>
  <si>
    <t>9/14/2023</t>
  </si>
  <si>
    <t>6/15/2026</t>
  </si>
  <si>
    <t>Follow Up</t>
  </si>
  <si>
    <t>E007</t>
  </si>
  <si>
    <t>Vikram Singh</t>
  </si>
  <si>
    <t>3/18/2022</t>
  </si>
  <si>
    <t>5/26/2026</t>
  </si>
  <si>
    <t>Outstanding</t>
  </si>
  <si>
    <t>E008</t>
  </si>
  <si>
    <t>Ananya Das</t>
  </si>
  <si>
    <t>8/25/2021</t>
  </si>
  <si>
    <t>Critical</t>
  </si>
  <si>
    <t>E009</t>
  </si>
  <si>
    <t>Rahul Joshi</t>
  </si>
  <si>
    <t>Good</t>
  </si>
  <si>
    <t>E010</t>
  </si>
  <si>
    <t>Simran Kaur</t>
  </si>
  <si>
    <t>6/30/2022</t>
  </si>
  <si>
    <t>5/31/2026</t>
  </si>
  <si>
    <t>E011</t>
  </si>
  <si>
    <t>Arjun Verma</t>
  </si>
  <si>
    <t>Low Attendance</t>
  </si>
  <si>
    <t>E012</t>
  </si>
  <si>
    <t>Sneha Kulkarni</t>
  </si>
  <si>
    <t>10/19/2020</t>
  </si>
  <si>
    <t>5/24/2026</t>
  </si>
  <si>
    <t>6/20/2026</t>
  </si>
  <si>
    <t>Best Employee</t>
  </si>
  <si>
    <t>E013</t>
  </si>
  <si>
    <t>Manish Gupta</t>
  </si>
  <si>
    <t>5/16/2021</t>
  </si>
  <si>
    <t>Average</t>
  </si>
  <si>
    <t>E014</t>
  </si>
  <si>
    <t>Pooja Reddy</t>
  </si>
  <si>
    <t>9/27/2022</t>
  </si>
  <si>
    <t>5/14/2026</t>
  </si>
  <si>
    <t>6/18/2026</t>
  </si>
  <si>
    <t>E015</t>
  </si>
  <si>
    <t>Karan Malhotra</t>
  </si>
  <si>
    <t>4/29/2026</t>
  </si>
  <si>
    <t>Urgent Review</t>
  </si>
  <si>
    <t>E016</t>
  </si>
  <si>
    <t>Isha Banerjee</t>
  </si>
  <si>
    <t>Very Good</t>
  </si>
  <si>
    <t>E017</t>
  </si>
  <si>
    <t>Dev Khanna</t>
  </si>
  <si>
    <t>5/15/2026</t>
  </si>
  <si>
    <t>Target Met</t>
  </si>
  <si>
    <t>E018</t>
  </si>
  <si>
    <t>Meera Pillai</t>
  </si>
  <si>
    <t>3/20/2024</t>
  </si>
  <si>
    <t>very Good</t>
  </si>
  <si>
    <t>E019</t>
  </si>
  <si>
    <t>Yash Thakur</t>
  </si>
  <si>
    <t>2/17/2023</t>
  </si>
  <si>
    <t>5/21/2026</t>
  </si>
  <si>
    <t>6/14/2026</t>
  </si>
  <si>
    <t>Stable</t>
  </si>
  <si>
    <t>E020</t>
  </si>
  <si>
    <t>Ritika Sen</t>
  </si>
  <si>
    <t>1/26/2022</t>
  </si>
  <si>
    <t>Star Performer</t>
  </si>
  <si>
    <t>6/23/2026</t>
  </si>
  <si>
    <t>6/19/2026</t>
  </si>
  <si>
    <t>5/25/2026</t>
  </si>
  <si>
    <t>5/23/2026</t>
  </si>
  <si>
    <t>5/19/2026</t>
  </si>
  <si>
    <t>Student ID</t>
  </si>
  <si>
    <t>Student Name</t>
  </si>
  <si>
    <t>Accountancy</t>
  </si>
  <si>
    <t>Business Law</t>
  </si>
  <si>
    <t>Economics</t>
  </si>
  <si>
    <t>Computer</t>
  </si>
  <si>
    <t>Total</t>
  </si>
  <si>
    <t>Percentage</t>
  </si>
  <si>
    <t>Grade</t>
  </si>
  <si>
    <t>Scholarship</t>
  </si>
  <si>
    <t>Grade (IFS)</t>
  </si>
  <si>
    <t>Scholarship Status</t>
  </si>
  <si>
    <t>Aarav Sharma</t>
  </si>
  <si>
    <t>Aditya Patil</t>
  </si>
  <si>
    <t>Akash Verma</t>
  </si>
  <si>
    <t>Ananya Deshmukh</t>
  </si>
  <si>
    <t>Aryan Kulkarni</t>
  </si>
  <si>
    <t>Aditi Joshi</t>
  </si>
  <si>
    <t>Atharv More</t>
  </si>
  <si>
    <t>Diya Shah</t>
  </si>
  <si>
    <t>Dhruv Mehta</t>
  </si>
  <si>
    <t>Ishita Singh</t>
  </si>
  <si>
    <t>Kabir Chavan</t>
  </si>
  <si>
    <t>Kavya Patil</t>
  </si>
  <si>
    <t>Krish Shah</t>
  </si>
  <si>
    <t>Manya Gupta</t>
  </si>
  <si>
    <t>Manav Joshi</t>
  </si>
  <si>
    <t>Meera Kulkarni</t>
  </si>
  <si>
    <t>Nikhil Deshmukh</t>
  </si>
  <si>
    <t>Omkar Jadhav</t>
  </si>
  <si>
    <t>Pranav More</t>
  </si>
  <si>
    <t>Riya Shah</t>
  </si>
  <si>
    <t>Rohan Patil</t>
  </si>
  <si>
    <t>Sakshi Kulkarni</t>
  </si>
  <si>
    <t>Samarth Joshi</t>
  </si>
  <si>
    <t>Shreya Deshmukh</t>
  </si>
  <si>
    <t>Siddharth Mehta</t>
  </si>
  <si>
    <t>Sneha Patil</t>
  </si>
  <si>
    <t>Tanvi Sharma</t>
  </si>
  <si>
    <t>Vedant Chavan</t>
  </si>
  <si>
    <t>Yash Kulkarni</t>
  </si>
  <si>
    <t>STU001</t>
  </si>
  <si>
    <t>STU002</t>
  </si>
  <si>
    <t>STU003</t>
  </si>
  <si>
    <t>STU004</t>
  </si>
  <si>
    <t>STU005</t>
  </si>
  <si>
    <t>STU006</t>
  </si>
  <si>
    <t>STU007</t>
  </si>
  <si>
    <t>STU008</t>
  </si>
  <si>
    <t>STU009</t>
  </si>
  <si>
    <t>STU010</t>
  </si>
  <si>
    <t>STU011</t>
  </si>
  <si>
    <t>STU012</t>
  </si>
  <si>
    <t>STU013</t>
  </si>
  <si>
    <t>STU014</t>
  </si>
  <si>
    <t>STU015</t>
  </si>
  <si>
    <t>STU016</t>
  </si>
  <si>
    <t>STU017</t>
  </si>
  <si>
    <t>STU018</t>
  </si>
  <si>
    <t>STU019</t>
  </si>
  <si>
    <t>STU020</t>
  </si>
  <si>
    <t>STU021</t>
  </si>
  <si>
    <t>STU022</t>
  </si>
  <si>
    <t>STU023</t>
  </si>
  <si>
    <t>STU024</t>
  </si>
  <si>
    <t>STU025</t>
  </si>
  <si>
    <t>STU026</t>
  </si>
  <si>
    <t>STU027</t>
  </si>
  <si>
    <t>STU028</t>
  </si>
  <si>
    <t>STU029</t>
  </si>
  <si>
    <t>STU030</t>
  </si>
  <si>
    <t>AVERAGE</t>
  </si>
  <si>
    <t>HIGHEST %</t>
  </si>
  <si>
    <t>LOWEST %</t>
  </si>
  <si>
    <t>TOTAL STUDENTS</t>
  </si>
  <si>
    <t>asc</t>
  </si>
  <si>
    <t xml:space="preserve">Gender </t>
  </si>
  <si>
    <t>Age</t>
  </si>
  <si>
    <t xml:space="preserve">Salary </t>
  </si>
  <si>
    <t>Steve</t>
  </si>
  <si>
    <t>peter</t>
  </si>
  <si>
    <t xml:space="preserve">Natasha </t>
  </si>
  <si>
    <t>Scott</t>
  </si>
  <si>
    <t>Wanda</t>
  </si>
  <si>
    <t>Male</t>
  </si>
  <si>
    <t>Female</t>
  </si>
  <si>
    <t>phone no.</t>
  </si>
  <si>
    <t>date</t>
  </si>
  <si>
    <t xml:space="preserve">Time </t>
  </si>
  <si>
    <t>e_id</t>
  </si>
  <si>
    <t xml:space="preserve">First name </t>
  </si>
  <si>
    <t xml:space="preserve">last name </t>
  </si>
  <si>
    <t>city</t>
  </si>
  <si>
    <t xml:space="preserve">steve </t>
  </si>
  <si>
    <t>roggers</t>
  </si>
  <si>
    <t>wayne</t>
  </si>
  <si>
    <t>gotham</t>
  </si>
  <si>
    <t>bruce</t>
  </si>
  <si>
    <t>rogers</t>
  </si>
  <si>
    <t>parker</t>
  </si>
  <si>
    <t>NYC</t>
  </si>
  <si>
    <t>russia</t>
  </si>
  <si>
    <t>natasha</t>
  </si>
  <si>
    <t>romanoff</t>
  </si>
  <si>
    <t xml:space="preserve">Full Name </t>
  </si>
  <si>
    <t>Email</t>
  </si>
  <si>
    <t>City pincode</t>
  </si>
  <si>
    <t>pincode</t>
  </si>
  <si>
    <t>steverog@gamil.com</t>
  </si>
  <si>
    <t>bruceway@gamil.com</t>
  </si>
  <si>
    <t>peterpar@gamil.com</t>
  </si>
  <si>
    <t>natasharom@gamil.com</t>
  </si>
  <si>
    <t>steve roggers</t>
  </si>
  <si>
    <t>bruce wayne</t>
  </si>
  <si>
    <t>peter parker</t>
  </si>
  <si>
    <t>natasha romanoff</t>
  </si>
  <si>
    <t>steve rogers</t>
  </si>
  <si>
    <t>NYC-12345</t>
  </si>
  <si>
    <t>gotham-22345</t>
  </si>
  <si>
    <t>NYC-32345</t>
  </si>
  <si>
    <t>russia-42345</t>
  </si>
  <si>
    <t>NYC-52345</t>
  </si>
  <si>
    <t>Language</t>
  </si>
  <si>
    <t>Release_Year</t>
  </si>
  <si>
    <t>Designed_By</t>
  </si>
  <si>
    <t>Type</t>
  </si>
  <si>
    <t>Python</t>
  </si>
  <si>
    <t>Guido van Rossum</t>
  </si>
  <si>
    <t>Interpreted</t>
  </si>
  <si>
    <t>JavaScript</t>
  </si>
  <si>
    <t>Brendan Eich</t>
  </si>
  <si>
    <t>C</t>
  </si>
  <si>
    <t>Dennis Ritchie</t>
  </si>
  <si>
    <t>Compiled</t>
  </si>
  <si>
    <t>Java</t>
  </si>
  <si>
    <t>James Gosling</t>
  </si>
  <si>
    <t>Ruby</t>
  </si>
  <si>
    <t>Yukihiro Matsumoto</t>
  </si>
  <si>
    <t>Yes*</t>
  </si>
  <si>
    <t>Sum Bonus of Sales department</t>
  </si>
  <si>
    <t>Sum Salary where Leave Days = 2</t>
  </si>
  <si>
    <t>Sum Actual Sales &gt; 60000</t>
  </si>
  <si>
    <t>Sum Bonus &lt; 5000</t>
  </si>
  <si>
    <t>Sum Salary &gt;= 8000</t>
  </si>
  <si>
    <t>Sum Leave Days &lt;= 2</t>
  </si>
  <si>
    <t>Sum Bonus except Finance</t>
  </si>
  <si>
    <t>Sum Salary based on value in O16</t>
  </si>
  <si>
    <t>Sum Salary greater than O18</t>
  </si>
  <si>
    <t>Sum Salary Names starting with A</t>
  </si>
  <si>
    <t>Sum Bonus whose Departments ending with "es"</t>
  </si>
  <si>
    <t>Sum Salary Whose Names containing "ra"</t>
  </si>
  <si>
    <t>Sum Salary whose Employee IDs E001–E009</t>
  </si>
  <si>
    <t>Sum Leave Days Whose Match literal match with  ”Yes*”</t>
  </si>
  <si>
    <t>Sum Bonus of Sales department using SUMIF()</t>
  </si>
  <si>
    <t>Sum Bonus of Sales department using SUMIFS()</t>
  </si>
  <si>
    <t>Sum Bonus of Sales department in West region</t>
  </si>
  <si>
    <t>Sum Salary of IT employees with 2 leave days</t>
  </si>
  <si>
    <t>Sum Actual Sales greater than 60000 for Sales department</t>
  </si>
  <si>
    <t>Sum Bonus less than 5000 in North region</t>
  </si>
  <si>
    <t>Sum Salary &gt;= 80000 for IT department</t>
  </si>
  <si>
    <t>Sum Leave Days for Email verified employees with leave &lt;= 2</t>
  </si>
  <si>
    <t>Sum Bonus in East region except Finance department</t>
  </si>
  <si>
    <t>Sum Salary based on Department (O20) and Region (P20)</t>
  </si>
  <si>
    <t>Sum Salary greater than value in O22 for Sales department</t>
  </si>
  <si>
    <t>Sum Salary of Sales employees whose names start with A</t>
  </si>
  <si>
    <t>Sum Bonus of West region departments ending with "es"</t>
  </si>
  <si>
    <t>Sum Salary of West region employees whose names contain "ra"</t>
  </si>
  <si>
    <t>Sum Bonus of Sales Department and match the literal text "Yes*" of Verified Email</t>
  </si>
  <si>
    <t>Sum Bonus where Email Verified is blank</t>
  </si>
  <si>
    <t>Sum Bonus where Email Verified is not blank</t>
  </si>
  <si>
    <t>Name</t>
  </si>
  <si>
    <t>Score</t>
  </si>
  <si>
    <t>Alice</t>
  </si>
  <si>
    <t>Pass</t>
  </si>
  <si>
    <t>Bob</t>
  </si>
  <si>
    <t>Charlie</t>
  </si>
  <si>
    <t>Absent</t>
  </si>
  <si>
    <t>David</t>
  </si>
  <si>
    <t>Emma</t>
  </si>
  <si>
    <t>Frank</t>
  </si>
  <si>
    <t>N/A</t>
  </si>
  <si>
    <t>Fail</t>
  </si>
  <si>
    <t>Grace</t>
  </si>
  <si>
    <t>Henry</t>
  </si>
  <si>
    <t>Ivy</t>
  </si>
  <si>
    <t>Jack</t>
  </si>
  <si>
    <t xml:space="preserve">COUNT </t>
  </si>
  <si>
    <t>COUNTA</t>
  </si>
  <si>
    <t xml:space="preserve">COUNTBLANK </t>
  </si>
  <si>
    <t>Count Sales department employees</t>
  </si>
  <si>
    <t>Count employees with 2 leave days</t>
  </si>
  <si>
    <t>Count Actual Sales greater than 60000</t>
  </si>
  <si>
    <t>Count Bonus less than 5000</t>
  </si>
  <si>
    <t>Count Salary &gt;=80000</t>
  </si>
  <si>
    <t>Count Leave Days &lt;= 2</t>
  </si>
  <si>
    <t>Count all except Finance</t>
  </si>
  <si>
    <t>Count Leave_Days based on value in O16</t>
  </si>
  <si>
    <t>Count Salary greater than O18</t>
  </si>
  <si>
    <t>Count names starting with A</t>
  </si>
  <si>
    <t>Count departments ending with "es"</t>
  </si>
  <si>
    <t>Count names containing "ra"</t>
  </si>
  <si>
    <t>Count Employee IDs E001–E009</t>
  </si>
  <si>
    <t>Count cells containing the literal text "Yes*</t>
  </si>
  <si>
    <t>Count employees in Sales department and West region</t>
  </si>
  <si>
    <t>Count IT employees with 2 leave days</t>
  </si>
  <si>
    <t>Count Sales employees whose Actual Sales are greater than 60000</t>
  </si>
  <si>
    <t>Count North region employees whose Bonus is less than 5000</t>
  </si>
  <si>
    <t>Count IT employees whose Salary is &gt;= 80000</t>
  </si>
  <si>
    <t>Count verified employees with Leave Days ≤ 2</t>
  </si>
  <si>
    <t>Count East region employees except Finance department</t>
  </si>
  <si>
    <t>Count employees based on Department (O16) and Region (P16)</t>
  </si>
  <si>
    <t>Count Sales employees whose names start with A</t>
  </si>
  <si>
    <t>Count West region employees whose Department ends with "es"</t>
  </si>
  <si>
    <t>Count West region employees whose names contain "ra"</t>
  </si>
  <si>
    <t>Count HR employees with Employee IDs E001–E009</t>
  </si>
  <si>
    <t>Count Sales employees whose Email Verified value is the literal text "Yes*”</t>
  </si>
  <si>
    <t>Average Actual Sales of Sales department employees</t>
  </si>
  <si>
    <t>Average Salary of employees with 2 leave days</t>
  </si>
  <si>
    <t>Average Bonus where Actual Sales are greater than 60000</t>
  </si>
  <si>
    <t>Average Salary where Bonus is less than 5000</t>
  </si>
  <si>
    <t>Average Actual Sales of employees whose Salary is ≥ 80000</t>
  </si>
  <si>
    <t>Average Bonus of employees with Leave Days ≤ 2</t>
  </si>
  <si>
    <t>Average Salary of all departments except Finance</t>
  </si>
  <si>
    <t>Average Actual Sales based on department in O16</t>
  </si>
  <si>
    <t>Average Actual Sales where Salary is greater than O18</t>
  </si>
  <si>
    <t>Average Actual Sales of employees whose names start with A</t>
  </si>
  <si>
    <t>Average Salary of departments ending with "es"</t>
  </si>
  <si>
    <t>Average Actual Sales of employees whose names contain "ra"</t>
  </si>
  <si>
    <t>Average Salary of Employee IDs E001–E009</t>
  </si>
  <si>
    <t>Average Actual Sales where Email Verified contains the literal text "Yes*"</t>
  </si>
  <si>
    <t>Average Actual Sales of Sales department employees in West region</t>
  </si>
  <si>
    <t>Average Salary of IT employees with 2 leave days</t>
  </si>
  <si>
    <t>Average Bonus of Sales employees whose Actual Sales are greater than 60000</t>
  </si>
  <si>
    <t>Average Salary of North region employees whose Bonus is less than 5000</t>
  </si>
  <si>
    <t>Average Actual Sales of IT employees whose Salary is ≥ 80000</t>
  </si>
  <si>
    <t>Average Bonus of verified employees with Leave Days ≤ 2</t>
  </si>
  <si>
    <t>Average Salary of East region employees except Finance department</t>
  </si>
  <si>
    <t>Average Actual Sales based on Department (O16) and Region (P16)</t>
  </si>
  <si>
    <t>Average Actual Sales of Sales employees whose names start with A</t>
  </si>
  <si>
    <t>Average Salary of West region employees whose Department ends with "es"</t>
  </si>
  <si>
    <t>Average Actual Sales of West region employees whose names contain "ra"</t>
  </si>
  <si>
    <t>Average Salary of HR employees with Employee IDs E001–E009</t>
  </si>
  <si>
    <t>Average Actual Sales of Sales employees whose Email Verified value is the literal text "Yes*"</t>
  </si>
  <si>
    <t>Sr No.</t>
  </si>
  <si>
    <t>Steven Roger-123212</t>
  </si>
  <si>
    <t>Natasha RomanOff-547689</t>
  </si>
  <si>
    <t>Tony Stark-347856</t>
  </si>
  <si>
    <t>Gamora-897645</t>
  </si>
  <si>
    <t>Clint Barten-452353</t>
  </si>
  <si>
    <t>LEFT</t>
  </si>
  <si>
    <t>RIGHT</t>
  </si>
  <si>
    <t>MID</t>
  </si>
  <si>
    <t>FIND</t>
  </si>
  <si>
    <t>"-</t>
  </si>
  <si>
    <t>REPT Function</t>
  </si>
  <si>
    <t>Power</t>
  </si>
  <si>
    <t>Star</t>
  </si>
  <si>
    <t>Tony</t>
  </si>
  <si>
    <t>Natasha</t>
  </si>
  <si>
    <t>SUBSTITUTE Function</t>
  </si>
  <si>
    <t>No.</t>
  </si>
  <si>
    <t>Data</t>
  </si>
  <si>
    <t>John-Smith</t>
  </si>
  <si>
    <t>Mumbai-India-400001</t>
  </si>
  <si>
    <t>Report.docx</t>
  </si>
  <si>
    <t>Product Name</t>
  </si>
  <si>
    <t>Price</t>
  </si>
  <si>
    <t>Rate %</t>
  </si>
  <si>
    <t>A</t>
  </si>
  <si>
    <t>B</t>
  </si>
  <si>
    <t>D</t>
  </si>
  <si>
    <t>E</t>
  </si>
  <si>
    <t>Rate</t>
  </si>
  <si>
    <t>Final Price Relative</t>
  </si>
  <si>
    <t>Final Price Absolute</t>
  </si>
  <si>
    <t>Hospital Doctor Duty Roster</t>
  </si>
  <si>
    <t>Day</t>
  </si>
  <si>
    <t>Dr. Smith</t>
  </si>
  <si>
    <t>Dr. Brown</t>
  </si>
  <si>
    <t>Dr. Patel</t>
  </si>
  <si>
    <t>Dr. Lee</t>
  </si>
  <si>
    <t>OPD</t>
  </si>
  <si>
    <t>ICU</t>
  </si>
  <si>
    <t>Surgery</t>
  </si>
  <si>
    <t>Emergency</t>
  </si>
  <si>
    <t>Doctor</t>
  </si>
  <si>
    <t>Student</t>
  </si>
  <si>
    <t>Marks</t>
  </si>
  <si>
    <t>F</t>
  </si>
  <si>
    <t>G</t>
  </si>
  <si>
    <t>H</t>
  </si>
  <si>
    <t>I</t>
  </si>
  <si>
    <t>J</t>
  </si>
  <si>
    <t>Bin (Upper Limit)</t>
  </si>
  <si>
    <t>Frequency</t>
  </si>
  <si>
    <t>Emp ID</t>
  </si>
  <si>
    <t>Dept ID</t>
  </si>
  <si>
    <t>D01</t>
  </si>
  <si>
    <t>D02</t>
  </si>
  <si>
    <t>Bruce</t>
  </si>
  <si>
    <t>D03</t>
  </si>
  <si>
    <t>Peter</t>
  </si>
  <si>
    <t xml:space="preserve">Emp ID </t>
  </si>
  <si>
    <t>Depatment</t>
  </si>
  <si>
    <t>Department_ID</t>
  </si>
  <si>
    <t>D001</t>
  </si>
  <si>
    <t>D002</t>
  </si>
  <si>
    <t>D003</t>
  </si>
  <si>
    <t>D004</t>
  </si>
  <si>
    <t>D005</t>
  </si>
  <si>
    <t>D006</t>
  </si>
  <si>
    <t>D007</t>
  </si>
  <si>
    <t>D008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</si>
  <si>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</si>
  <si>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</si>
  <si>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</si>
  <si>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</si>
  <si>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</si>
  <si>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</si>
  <si>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</si>
  <si>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</si>
  <si>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</si>
  <si>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</si>
  <si>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</si>
  <si>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</si>
  <si>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TABLE 1</t>
  </si>
  <si>
    <t>TABLE 2</t>
  </si>
  <si>
    <t>TABLE 3</t>
  </si>
  <si>
    <t>Hero ID</t>
  </si>
  <si>
    <t>Superhero</t>
  </si>
  <si>
    <t>Team</t>
  </si>
  <si>
    <t>Iron Man</t>
  </si>
  <si>
    <t>Avengers</t>
  </si>
  <si>
    <t>Spider-Man</t>
  </si>
  <si>
    <t>Groot</t>
  </si>
  <si>
    <t>Guardians</t>
  </si>
  <si>
    <t>Captain America</t>
  </si>
  <si>
    <t>Doctor Strange</t>
  </si>
  <si>
    <t>Loki</t>
  </si>
  <si>
    <t>Asgard</t>
  </si>
  <si>
    <t>Thor</t>
  </si>
  <si>
    <t>Black Panther</t>
  </si>
  <si>
    <t>Nick Fury</t>
  </si>
  <si>
    <t>S.H.I.E.L.D.</t>
  </si>
  <si>
    <t>Hulk</t>
  </si>
  <si>
    <t>Ant-Man</t>
  </si>
  <si>
    <t>Daredevil</t>
  </si>
  <si>
    <t>Defenders</t>
  </si>
  <si>
    <t>Black Widow</t>
  </si>
  <si>
    <t>Wasp</t>
  </si>
  <si>
    <t>Moon Knight</t>
  </si>
  <si>
    <t>Midnight Sons</t>
  </si>
  <si>
    <t>Hawkeye</t>
  </si>
  <si>
    <t>Captain Marvel</t>
  </si>
  <si>
    <t>She-Hulk</t>
  </si>
  <si>
    <t>Falcon</t>
  </si>
  <si>
    <t>Star-Lord</t>
  </si>
  <si>
    <t>Ms. Marvel</t>
  </si>
  <si>
    <t>Champions</t>
  </si>
  <si>
    <t>Winter Soldier</t>
  </si>
  <si>
    <t>Gamora</t>
  </si>
  <si>
    <t>Deadpool</t>
  </si>
  <si>
    <t>X-Force</t>
  </si>
  <si>
    <t>Scarlet Witch</t>
  </si>
  <si>
    <t>Drax</t>
  </si>
  <si>
    <t>Wolverine</t>
  </si>
  <si>
    <t>X-Men</t>
  </si>
  <si>
    <t>Vision</t>
  </si>
  <si>
    <t>Rocket</t>
  </si>
  <si>
    <t>Storm</t>
  </si>
  <si>
    <t>E100</t>
  </si>
  <si>
    <t>E021</t>
  </si>
  <si>
    <t>Ayaan Kapoor</t>
  </si>
  <si>
    <t>E022</t>
  </si>
  <si>
    <t>Diya Menon</t>
  </si>
  <si>
    <t>E023</t>
  </si>
  <si>
    <t>Siddharth Bhat</t>
  </si>
  <si>
    <t>E024</t>
  </si>
  <si>
    <t>Nisha Choudhary</t>
  </si>
  <si>
    <t>E025</t>
  </si>
  <si>
    <t>Rishi Mehra</t>
  </si>
  <si>
    <t>E026</t>
  </si>
  <si>
    <t>Tanvi Desai</t>
  </si>
  <si>
    <t>E027</t>
  </si>
  <si>
    <t>Aarush Kapoor</t>
  </si>
  <si>
    <t>E028</t>
  </si>
  <si>
    <t>Shreya Ghosh</t>
  </si>
  <si>
    <t>E029</t>
  </si>
  <si>
    <t>Harsh Vardhan</t>
  </si>
  <si>
    <t>E030</t>
  </si>
  <si>
    <t>Aditi Mishra</t>
  </si>
  <si>
    <t>E031</t>
  </si>
  <si>
    <t>Nikhil Sinha</t>
  </si>
  <si>
    <t>E032</t>
  </si>
  <si>
    <t>Sanjana Roy</t>
  </si>
  <si>
    <t>E033</t>
  </si>
  <si>
    <t>Varun Saxena</t>
  </si>
  <si>
    <t>E034</t>
  </si>
  <si>
    <t>Rhea Dutta</t>
  </si>
  <si>
    <t>E035</t>
  </si>
  <si>
    <t>Akash Tripathi</t>
  </si>
  <si>
    <t>E036</t>
  </si>
  <si>
    <t>Nandini Bose</t>
  </si>
  <si>
    <t>E037</t>
  </si>
  <si>
    <t>Chirag Jain</t>
  </si>
  <si>
    <t>E038</t>
  </si>
  <si>
    <t>Bhavna Arora</t>
  </si>
  <si>
    <t>E039</t>
  </si>
  <si>
    <t>Om Prakash</t>
  </si>
  <si>
    <t>E040</t>
  </si>
  <si>
    <t>Palak Sethi</t>
  </si>
  <si>
    <t>Incentive</t>
  </si>
  <si>
    <t>Target</t>
  </si>
  <si>
    <t>sen</t>
  </si>
  <si>
    <t>Lookup array must be sorted in ascending order</t>
  </si>
  <si>
    <t>Lookup array must be sorted in descending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</si>
</sst>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rgb="FF000000"/>
      <name val="Calibri"/>
      <family val="2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FF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0" fillId="0" borderId="0" xfId="0" applyNumberFormat="1" applyAlignment="1">
      <alignment horizontal="left"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14" fontId="9" fillId="0" borderId="0" xfId="0" applyNumberFormat="1" applyFont="1"/>
    <xf numFmtId="18" fontId="9" fillId="0" borderId="0" xfId="0" applyNumberFormat="1" applyFont="1"/>
    <xf numFmtId="0" fontId="10" fillId="0" borderId="0" xfId="1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2" fillId="0" borderId="0" xfId="0" applyFont="1" applyAlignment="1">
      <alignment horizontal="center"/>
    </xf>
    <xf numFmtId="9" fontId="0" fillId="0" borderId="0" xfId="0" applyNumberFormat="1"/>
  </cellXfs>
  <cellStyles count="2">
    <cellStyle name="Hyperlink" xfId="1" builtinId="8"/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peterpar@gamil.com" TargetMode="External"/><Relationship Id="rId2" Type="http://schemas.openxmlformats.org/officeDocument/2006/relationships/hyperlink" Target="mailto:bruceway@gamil.com" TargetMode="External"/><Relationship Id="rId1" Type="http://schemas.openxmlformats.org/officeDocument/2006/relationships/hyperlink" Target="mailto:steverog@gamil.com" TargetMode="External"/><Relationship Id="rId6" Type="http://schemas.openxmlformats.org/officeDocument/2006/relationships/hyperlink" Target="mailto:bruceway@gamil.com" TargetMode="External"/><Relationship Id="rId5" Type="http://schemas.openxmlformats.org/officeDocument/2006/relationships/hyperlink" Target="mailto:steverog@gamil.com" TargetMode="External"/><Relationship Id="rId4" Type="http://schemas.openxmlformats.org/officeDocument/2006/relationships/hyperlink" Target="mailto:natasharom@gam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45"/>
  <sheetViews>
    <sheetView topLeftCell="A25" zoomScale="138" workbookViewId="0">
      <selection activeCell="A16" sqref="A16:L20"/>
    </sheetView>
  </sheetViews>
  <sheetFormatPr baseColWidth="10" defaultRowHeight="16" x14ac:dyDescent="0.2"/>
  <cols>
    <col min="3" max="3" width="10.6640625" customWidth="1"/>
    <col min="4" max="4" width="10.83203125" style="1"/>
    <col min="6" max="6" width="10.83203125" style="2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1" t="s">
        <v>0</v>
      </c>
      <c r="E1">
        <v>5</v>
      </c>
      <c r="F1" s="2" t="s">
        <v>7</v>
      </c>
    </row>
    <row r="2" spans="1:12" x14ac:dyDescent="0.2">
      <c r="A2">
        <v>1</v>
      </c>
      <c r="B2">
        <v>2</v>
      </c>
      <c r="C2">
        <v>10</v>
      </c>
      <c r="D2" s="1" t="s">
        <v>1</v>
      </c>
      <c r="E2">
        <v>10</v>
      </c>
      <c r="F2" s="2" t="s">
        <v>8</v>
      </c>
    </row>
    <row r="3" spans="1:12" x14ac:dyDescent="0.2">
      <c r="A3">
        <v>1</v>
      </c>
      <c r="B3">
        <v>3</v>
      </c>
      <c r="C3">
        <v>15</v>
      </c>
      <c r="D3" s="1" t="s">
        <v>2</v>
      </c>
      <c r="E3">
        <v>15</v>
      </c>
      <c r="F3" s="2" t="s">
        <v>9</v>
      </c>
    </row>
    <row r="4" spans="1:12" x14ac:dyDescent="0.2">
      <c r="A4">
        <v>1</v>
      </c>
      <c r="B4">
        <v>4</v>
      </c>
      <c r="C4">
        <v>20</v>
      </c>
      <c r="D4" s="1" t="s">
        <v>3</v>
      </c>
      <c r="E4">
        <v>20</v>
      </c>
      <c r="F4" s="2" t="s">
        <v>10</v>
      </c>
    </row>
    <row r="5" spans="1:12" x14ac:dyDescent="0.2">
      <c r="A5">
        <v>1</v>
      </c>
      <c r="B5">
        <v>5</v>
      </c>
      <c r="C5">
        <v>25</v>
      </c>
      <c r="D5" s="1" t="s">
        <v>4</v>
      </c>
      <c r="E5">
        <v>25</v>
      </c>
      <c r="F5" s="2" t="s">
        <v>11</v>
      </c>
    </row>
    <row r="6" spans="1:12" x14ac:dyDescent="0.2">
      <c r="A6">
        <v>1</v>
      </c>
      <c r="B6">
        <v>6</v>
      </c>
      <c r="C6">
        <v>30</v>
      </c>
      <c r="D6" s="1" t="s">
        <v>5</v>
      </c>
      <c r="E6">
        <v>30</v>
      </c>
      <c r="F6" s="2" t="s">
        <v>12</v>
      </c>
    </row>
    <row r="7" spans="1:12" x14ac:dyDescent="0.2">
      <c r="A7">
        <v>1</v>
      </c>
      <c r="B7">
        <v>7</v>
      </c>
      <c r="C7">
        <v>35</v>
      </c>
      <c r="D7" s="1" t="s">
        <v>6</v>
      </c>
      <c r="E7">
        <v>35</v>
      </c>
      <c r="F7" s="2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2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2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2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2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2" t="s">
        <v>18</v>
      </c>
    </row>
    <row r="14" spans="1:12" x14ac:dyDescent="0.2">
      <c r="B14" s="7" t="s">
        <v>39</v>
      </c>
    </row>
    <row r="16" spans="1:12" x14ac:dyDescent="0.2">
      <c r="A16" s="3" t="s">
        <v>19</v>
      </c>
      <c r="B16" s="3" t="s">
        <v>20</v>
      </c>
      <c r="C16" s="3" t="s">
        <v>21</v>
      </c>
      <c r="D16" s="3" t="s">
        <v>22</v>
      </c>
      <c r="E16" s="3" t="s">
        <v>23</v>
      </c>
      <c r="F16" s="4" t="s">
        <v>28</v>
      </c>
      <c r="G16" s="3" t="s">
        <v>29</v>
      </c>
      <c r="H16" s="3" t="s">
        <v>30</v>
      </c>
      <c r="I16" s="3" t="s">
        <v>31</v>
      </c>
      <c r="J16" s="3" t="s">
        <v>32</v>
      </c>
      <c r="K16" s="3" t="s">
        <v>34</v>
      </c>
      <c r="L16" s="3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3">
        <f>SUM(B17:D17)</f>
        <v>236</v>
      </c>
      <c r="F17" s="5">
        <f>MAX(B17:D17)</f>
        <v>85</v>
      </c>
      <c r="G17">
        <f>MIN(B17:D17)</f>
        <v>74</v>
      </c>
      <c r="H17" s="6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3">
        <f t="shared" ref="E18:E20" si="0">SUM(B18:D18)</f>
        <v>193</v>
      </c>
      <c r="F18" s="5">
        <f t="shared" ref="F18:F20" si="1">MAX(B18:D18)</f>
        <v>92</v>
      </c>
      <c r="G18">
        <f t="shared" ref="G18:G20" si="2">MIN(B18:D18)</f>
        <v>37</v>
      </c>
      <c r="H18" s="6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3">
        <f t="shared" si="0"/>
        <v>89</v>
      </c>
      <c r="F19" s="5">
        <f t="shared" si="1"/>
        <v>57</v>
      </c>
      <c r="G19">
        <f t="shared" si="2"/>
        <v>13</v>
      </c>
      <c r="H19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3">
        <f t="shared" si="0"/>
        <v>138</v>
      </c>
      <c r="F20" s="5">
        <f t="shared" si="1"/>
        <v>89</v>
      </c>
      <c r="G20">
        <f t="shared" si="2"/>
        <v>8</v>
      </c>
      <c r="H20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  <row r="21" spans="1:12" x14ac:dyDescent="0.2">
      <c r="D21"/>
      <c r="E21" s="3"/>
      <c r="F21" s="5"/>
    </row>
    <row r="22" spans="1:12" x14ac:dyDescent="0.2">
      <c r="D22"/>
      <c r="E22" s="3"/>
      <c r="F22" s="5"/>
    </row>
    <row r="23" spans="1:12" x14ac:dyDescent="0.2">
      <c r="D23"/>
      <c r="E23" s="3"/>
      <c r="F23" s="5"/>
    </row>
    <row r="24" spans="1:12" x14ac:dyDescent="0.2">
      <c r="D24"/>
      <c r="E24" s="3"/>
      <c r="F24" s="5"/>
    </row>
    <row r="26" spans="1:12" x14ac:dyDescent="0.2">
      <c r="E26" t="s">
        <v>36</v>
      </c>
      <c r="F26" s="2" t="s">
        <v>28</v>
      </c>
      <c r="G26" t="s">
        <v>29</v>
      </c>
      <c r="H26" t="s">
        <v>37</v>
      </c>
      <c r="I26" t="s">
        <v>31</v>
      </c>
      <c r="J26" t="s">
        <v>35</v>
      </c>
      <c r="K26" t="s">
        <v>38</v>
      </c>
    </row>
    <row r="27" spans="1:12" x14ac:dyDescent="0.2">
      <c r="B27">
        <v>59</v>
      </c>
      <c r="C27">
        <v>29</v>
      </c>
      <c r="D27">
        <v>95</v>
      </c>
      <c r="E27">
        <f>SUM(B27:D27)</f>
        <v>183</v>
      </c>
      <c r="F27" s="2">
        <f>MAX(B27,C27,,D27)</f>
        <v>95</v>
      </c>
      <c r="G27">
        <f>MIN(B27,C27,D27)</f>
        <v>29</v>
      </c>
      <c r="H27">
        <f>AVERAGE(B27,C27,D27)</f>
        <v>61</v>
      </c>
      <c r="I27">
        <f>E27/300*100</f>
        <v>61</v>
      </c>
      <c r="K27" t="str">
        <f>IF(AND(B27&gt;=35,C27&gt;=35,D27&gt;=35),"pass","fail")</f>
        <v>fail</v>
      </c>
    </row>
    <row r="28" spans="1:12" x14ac:dyDescent="0.2">
      <c r="B28">
        <v>6</v>
      </c>
      <c r="C28">
        <v>69</v>
      </c>
      <c r="D28">
        <v>23</v>
      </c>
      <c r="E28">
        <f t="shared" ref="E28:E36" si="8">SUM(B28:D28)</f>
        <v>98</v>
      </c>
      <c r="F28" s="2">
        <f t="shared" ref="F28:F36" si="9">MAX(B28,C28,,D28)</f>
        <v>69</v>
      </c>
      <c r="G28">
        <f t="shared" ref="G28:G36" si="10">MIN(B28,C28,D28)</f>
        <v>6</v>
      </c>
      <c r="H28">
        <f t="shared" ref="H28:H36" si="11">AVERAGE(B28,C28,D28)</f>
        <v>32.666666666666664</v>
      </c>
      <c r="I28">
        <f t="shared" ref="I28:I36" si="12">E28/300*100</f>
        <v>32.666666666666664</v>
      </c>
      <c r="K28" t="str">
        <f t="shared" ref="K28:K36" si="13">IF(AND(B28&gt;=35,C28&gt;=35,D28&gt;=35),"pass","fail")</f>
        <v>fail</v>
      </c>
    </row>
    <row r="29" spans="1:12" x14ac:dyDescent="0.2">
      <c r="B29">
        <v>38</v>
      </c>
      <c r="C29">
        <v>27</v>
      </c>
      <c r="D29">
        <v>84</v>
      </c>
      <c r="E29">
        <f t="shared" si="8"/>
        <v>149</v>
      </c>
      <c r="F29" s="2">
        <f t="shared" si="9"/>
        <v>84</v>
      </c>
      <c r="G29">
        <f t="shared" si="10"/>
        <v>27</v>
      </c>
      <c r="H29">
        <f t="shared" si="11"/>
        <v>49.666666666666664</v>
      </c>
      <c r="I29">
        <f t="shared" si="12"/>
        <v>49.666666666666664</v>
      </c>
      <c r="K29" t="str">
        <f t="shared" si="13"/>
        <v>fail</v>
      </c>
    </row>
    <row r="30" spans="1:12" x14ac:dyDescent="0.2">
      <c r="B30">
        <v>37</v>
      </c>
      <c r="C30">
        <v>99</v>
      </c>
      <c r="D30">
        <v>57</v>
      </c>
      <c r="E30">
        <f t="shared" si="8"/>
        <v>193</v>
      </c>
      <c r="F30" s="2">
        <f t="shared" si="9"/>
        <v>99</v>
      </c>
      <c r="G30">
        <f t="shared" si="10"/>
        <v>37</v>
      </c>
      <c r="H30">
        <f t="shared" si="11"/>
        <v>64.333333333333329</v>
      </c>
      <c r="I30">
        <f t="shared" si="12"/>
        <v>64.333333333333329</v>
      </c>
      <c r="K30" t="str">
        <f t="shared" si="13"/>
        <v>pass</v>
      </c>
    </row>
    <row r="31" spans="1:12" x14ac:dyDescent="0.2">
      <c r="B31">
        <v>84</v>
      </c>
      <c r="C31">
        <v>83</v>
      </c>
      <c r="D31">
        <v>32</v>
      </c>
      <c r="E31">
        <f t="shared" si="8"/>
        <v>199</v>
      </c>
      <c r="F31" s="2">
        <f t="shared" si="9"/>
        <v>84</v>
      </c>
      <c r="G31">
        <f t="shared" si="10"/>
        <v>32</v>
      </c>
      <c r="H31">
        <f t="shared" si="11"/>
        <v>66.333333333333329</v>
      </c>
      <c r="I31">
        <f t="shared" si="12"/>
        <v>66.333333333333329</v>
      </c>
      <c r="K31" t="str">
        <f t="shared" si="13"/>
        <v>fail</v>
      </c>
    </row>
    <row r="32" spans="1:12" x14ac:dyDescent="0.2">
      <c r="B32">
        <v>55</v>
      </c>
      <c r="C32">
        <v>24</v>
      </c>
      <c r="D32">
        <v>50</v>
      </c>
      <c r="E32">
        <f t="shared" si="8"/>
        <v>129</v>
      </c>
      <c r="F32" s="2">
        <f t="shared" si="9"/>
        <v>55</v>
      </c>
      <c r="G32">
        <f t="shared" si="10"/>
        <v>24</v>
      </c>
      <c r="H32">
        <f t="shared" si="11"/>
        <v>43</v>
      </c>
      <c r="I32">
        <f t="shared" si="12"/>
        <v>43</v>
      </c>
      <c r="K32" t="str">
        <f t="shared" si="13"/>
        <v>fail</v>
      </c>
    </row>
    <row r="33" spans="2:11" x14ac:dyDescent="0.2">
      <c r="B33">
        <v>18</v>
      </c>
      <c r="C33">
        <v>11</v>
      </c>
      <c r="D33">
        <v>55</v>
      </c>
      <c r="E33">
        <f t="shared" si="8"/>
        <v>84</v>
      </c>
      <c r="F33" s="2">
        <f t="shared" si="9"/>
        <v>55</v>
      </c>
      <c r="G33">
        <f t="shared" si="10"/>
        <v>11</v>
      </c>
      <c r="H33">
        <f t="shared" si="11"/>
        <v>28</v>
      </c>
      <c r="I33">
        <f t="shared" si="12"/>
        <v>28.000000000000004</v>
      </c>
      <c r="K33" t="str">
        <f t="shared" si="13"/>
        <v>fail</v>
      </c>
    </row>
    <row r="34" spans="2:11" x14ac:dyDescent="0.2">
      <c r="B34">
        <v>30</v>
      </c>
      <c r="C34">
        <v>69</v>
      </c>
      <c r="D34">
        <v>37</v>
      </c>
      <c r="E34">
        <f t="shared" si="8"/>
        <v>136</v>
      </c>
      <c r="F34" s="2">
        <f t="shared" si="9"/>
        <v>69</v>
      </c>
      <c r="G34">
        <f t="shared" si="10"/>
        <v>30</v>
      </c>
      <c r="H34">
        <f t="shared" si="11"/>
        <v>45.333333333333336</v>
      </c>
      <c r="I34">
        <f t="shared" si="12"/>
        <v>45.333333333333329</v>
      </c>
      <c r="K34" t="str">
        <f t="shared" si="13"/>
        <v>fail</v>
      </c>
    </row>
    <row r="35" spans="2:11" x14ac:dyDescent="0.2">
      <c r="B35">
        <v>10</v>
      </c>
      <c r="C35">
        <v>10</v>
      </c>
      <c r="D35">
        <v>21</v>
      </c>
      <c r="E35">
        <f t="shared" si="8"/>
        <v>41</v>
      </c>
      <c r="F35" s="2">
        <f t="shared" si="9"/>
        <v>21</v>
      </c>
      <c r="G35">
        <f t="shared" si="10"/>
        <v>10</v>
      </c>
      <c r="H35">
        <f t="shared" si="11"/>
        <v>13.666666666666666</v>
      </c>
      <c r="I35">
        <f t="shared" si="12"/>
        <v>13.666666666666666</v>
      </c>
      <c r="K35" t="str">
        <f t="shared" si="13"/>
        <v>fail</v>
      </c>
    </row>
    <row r="36" spans="2:11" x14ac:dyDescent="0.2">
      <c r="B36">
        <v>27</v>
      </c>
      <c r="C36">
        <v>29</v>
      </c>
      <c r="D36">
        <v>23</v>
      </c>
      <c r="E36">
        <f t="shared" si="8"/>
        <v>79</v>
      </c>
      <c r="F36" s="2">
        <f t="shared" si="9"/>
        <v>29</v>
      </c>
      <c r="G36">
        <f t="shared" si="10"/>
        <v>23</v>
      </c>
      <c r="H36">
        <f t="shared" si="11"/>
        <v>26.333333333333332</v>
      </c>
      <c r="I36">
        <f t="shared" si="12"/>
        <v>26.333333333333332</v>
      </c>
      <c r="K36" t="str">
        <f t="shared" si="13"/>
        <v>fail</v>
      </c>
    </row>
    <row r="37" spans="2:11" x14ac:dyDescent="0.2">
      <c r="D37"/>
    </row>
    <row r="38" spans="2:11" x14ac:dyDescent="0.2">
      <c r="D38"/>
    </row>
    <row r="39" spans="2:11" x14ac:dyDescent="0.2">
      <c r="D39"/>
    </row>
    <row r="40" spans="2:11" x14ac:dyDescent="0.2">
      <c r="D40"/>
    </row>
    <row r="41" spans="2:11" x14ac:dyDescent="0.2">
      <c r="D41"/>
    </row>
    <row r="42" spans="2:11" x14ac:dyDescent="0.2">
      <c r="D42"/>
    </row>
    <row r="43" spans="2:11" x14ac:dyDescent="0.2">
      <c r="D43"/>
    </row>
    <row r="44" spans="2:11" x14ac:dyDescent="0.2">
      <c r="D44"/>
    </row>
    <row r="45" spans="2:11" x14ac:dyDescent="0.2">
      <c r="D4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BABF-4102-E24F-AF9B-19F0B75BF7AE}">
  <dimension ref="A1:O6"/>
  <sheetViews>
    <sheetView zoomScale="43" zoomScaleNormal="138" workbookViewId="0">
      <selection activeCell="A8" sqref="A8"/>
    </sheetView>
  </sheetViews>
  <sheetFormatPr baseColWidth="10" defaultRowHeight="16" x14ac:dyDescent="0.2"/>
  <cols>
    <col min="1" max="1" width="10.5" customWidth="1"/>
    <col min="13" max="13" width="14.5" bestFit="1" customWidth="1"/>
    <col min="14" max="14" width="15" bestFit="1" customWidth="1"/>
  </cols>
  <sheetData>
    <row r="1" spans="1:15" ht="25" customHeight="1" x14ac:dyDescent="0.2">
      <c r="A1" s="8" t="s">
        <v>40</v>
      </c>
    </row>
    <row r="2" spans="1:15" x14ac:dyDescent="0.2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34</v>
      </c>
      <c r="L2" s="3" t="s">
        <v>33</v>
      </c>
      <c r="M2" s="3" t="s">
        <v>43</v>
      </c>
      <c r="N2" s="3" t="s">
        <v>41</v>
      </c>
      <c r="O2" s="3" t="s">
        <v>42</v>
      </c>
    </row>
    <row r="3" spans="1:15" x14ac:dyDescent="0.2">
      <c r="A3" t="s">
        <v>24</v>
      </c>
      <c r="B3">
        <v>77</v>
      </c>
      <c r="C3">
        <v>99</v>
      </c>
      <c r="D3">
        <v>99</v>
      </c>
      <c r="E3" s="3">
        <f>SUM(B3:D3)</f>
        <v>275</v>
      </c>
      <c r="F3" s="5">
        <f>MAX(B3:D3)</f>
        <v>99</v>
      </c>
      <c r="G3">
        <f>MIN(B3:D3)</f>
        <v>77</v>
      </c>
      <c r="H3" s="6">
        <f>AVERAGE(B3:D3)</f>
        <v>91.666666666666671</v>
      </c>
      <c r="I3">
        <f>E3/300*100</f>
        <v>91.666666666666657</v>
      </c>
      <c r="J3" t="str">
        <f>IF(I3&gt;=35,"pass","fail")</f>
        <v>pass</v>
      </c>
      <c r="K3" t="str">
        <f>IF(AND(B3&gt;=35,C3&gt;=35,D3&gt;=35),"PASS","FAIL")</f>
        <v>PASS</v>
      </c>
      <c r="L3" t="str">
        <f>IF(OR(B3&lt;=35,C3&lt;=35,D3&lt;=35),"Fail","Pass")</f>
        <v>Pass</v>
      </c>
      <c r="M3" t="str">
        <f>IF(I3&gt;=90,"A++",IF(I3&gt;=70,"A",IF(I3&gt;=60,"B",IF(I3&gt;=50,"C",IF(I3&gt;=40,"D","F")))))</f>
        <v>A++</v>
      </c>
      <c r="N3" t="str">
        <f>IF(M3="F","fail",M3)</f>
        <v>A++</v>
      </c>
      <c r="O3" t="str" cm="1">
        <f t="array" ref="O3">_xlfn.IFS(I3&gt;=90,"A++",I3&gt;=70,"A+",I3&gt;=60,"B",I3&gt;=50,"C",I3&gt;=40,"D",I3&lt;=40,"f")</f>
        <v>A++</v>
      </c>
    </row>
    <row r="4" spans="1:15" x14ac:dyDescent="0.2">
      <c r="A4" t="s">
        <v>25</v>
      </c>
      <c r="B4">
        <v>92</v>
      </c>
      <c r="C4">
        <v>37</v>
      </c>
      <c r="D4">
        <v>64</v>
      </c>
      <c r="E4" s="3">
        <f>SUM(B4:D4)</f>
        <v>193</v>
      </c>
      <c r="F4" s="5">
        <f>MAX(B4:D4)</f>
        <v>92</v>
      </c>
      <c r="G4">
        <f>MIN(B4:D4)</f>
        <v>37</v>
      </c>
      <c r="H4" s="6">
        <f>AVERAGE(B4:D4)</f>
        <v>64.333333333333329</v>
      </c>
      <c r="I4">
        <f t="shared" ref="I4:I6" si="0">E4/300*100</f>
        <v>64.333333333333329</v>
      </c>
      <c r="J4" t="str">
        <f t="shared" ref="J4:J6" si="1">IF(I4&gt;=35,"pass","fail")</f>
        <v>pass</v>
      </c>
      <c r="K4" t="str">
        <f>IF(AND(B4&gt;=35,C4&gt;=35,D4&gt;=35),"PASS","FAIL")</f>
        <v>PASS</v>
      </c>
      <c r="L4" t="str">
        <f>IF(OR(B4&lt;=35,C4&lt;=35,D4&lt;=35),"Fail","Pass")</f>
        <v>Pass</v>
      </c>
      <c r="M4" t="str">
        <f t="shared" ref="M4:M6" si="2">IF(I4&gt;=90,"A++",IF(I4&gt;=70,"A",IF(I4&gt;=60,"B",IF(I4&gt;=50,"C",IF(I4&gt;=40,"D","F")))))</f>
        <v>B</v>
      </c>
      <c r="N4" t="str">
        <f t="shared" ref="N4:N6" si="3">IF(M4="F","fail",M4)</f>
        <v>B</v>
      </c>
      <c r="O4" t="str" cm="1">
        <f t="array" ref="O4">_xlfn.IFS(I4&gt;=90,"A++",I4&gt;=70,"A+",I4&gt;=60,"B",I4&gt;=50,"C",I4&gt;=40,"D",I4&lt;=40,"f")</f>
        <v>B</v>
      </c>
    </row>
    <row r="5" spans="1:15" x14ac:dyDescent="0.2">
      <c r="A5" t="s">
        <v>26</v>
      </c>
      <c r="B5">
        <v>13</v>
      </c>
      <c r="C5">
        <v>57</v>
      </c>
      <c r="D5">
        <v>19</v>
      </c>
      <c r="E5" s="3">
        <f>SUM(B5:D5)</f>
        <v>89</v>
      </c>
      <c r="F5" s="5">
        <f>MAX(B5:D5)</f>
        <v>57</v>
      </c>
      <c r="G5">
        <f>MIN(B5:D5)</f>
        <v>13</v>
      </c>
      <c r="H5">
        <f>AVERAGE(B5:D5)</f>
        <v>29.666666666666668</v>
      </c>
      <c r="I5">
        <f t="shared" si="0"/>
        <v>29.666666666666668</v>
      </c>
      <c r="J5" t="str">
        <f t="shared" si="1"/>
        <v>fail</v>
      </c>
      <c r="K5" t="str">
        <f>IF(AND(B5&gt;=35,C5&gt;=35,D5&gt;=35),"PASS","FAIL")</f>
        <v>FAIL</v>
      </c>
      <c r="L5" t="str">
        <f>IF(OR(B5&lt;=35,C5&lt;=35,D5&lt;=35),"Fail","Pass")</f>
        <v>Fail</v>
      </c>
      <c r="M5" t="str">
        <f t="shared" si="2"/>
        <v>F</v>
      </c>
      <c r="N5" t="str">
        <f t="shared" si="3"/>
        <v>fail</v>
      </c>
      <c r="O5" t="str" cm="1">
        <f t="array" ref="O5">_xlfn.IFS(I5&gt;=90,"A++",I5&gt;=70,"A+",I5&gt;=60,"B",I5&gt;=50,"C",I5&gt;=40,"D",I5&lt;=40,"f")</f>
        <v>f</v>
      </c>
    </row>
    <row r="6" spans="1:15" x14ac:dyDescent="0.2">
      <c r="A6" t="s">
        <v>27</v>
      </c>
      <c r="B6">
        <v>89</v>
      </c>
      <c r="C6">
        <v>8</v>
      </c>
      <c r="D6">
        <v>41</v>
      </c>
      <c r="E6" s="3">
        <f>SUM(B6:D6)</f>
        <v>138</v>
      </c>
      <c r="F6" s="5">
        <f>MAX(B6:D6)</f>
        <v>89</v>
      </c>
      <c r="G6">
        <f>MIN(B6:D6)</f>
        <v>8</v>
      </c>
      <c r="H6">
        <f>AVERAGE(B6:D6)</f>
        <v>46</v>
      </c>
      <c r="I6">
        <f t="shared" si="0"/>
        <v>46</v>
      </c>
      <c r="J6" t="str">
        <f t="shared" si="1"/>
        <v>pass</v>
      </c>
      <c r="K6" t="str">
        <f>IF(AND(B6&gt;=35,C6&gt;=35,D6&gt;=35),"PASS","FAIL")</f>
        <v>FAIL</v>
      </c>
      <c r="L6" t="str">
        <f>IF(OR(B6&lt;=35,C6&lt;=35,D6&lt;=35),"Fail","Pass")</f>
        <v>Fail</v>
      </c>
      <c r="M6" t="str">
        <f t="shared" si="2"/>
        <v>D</v>
      </c>
      <c r="N6" t="str">
        <f t="shared" si="3"/>
        <v>D</v>
      </c>
      <c r="O6" t="str" cm="1">
        <f t="array" ref="O6">_xlfn.IFS(I6&gt;=90,"A++",I6&gt;=70,"A+",I6&gt;=60,"B",I6&gt;=50,"C",I6&gt;=40,"D",I6&lt;=40,"f")</f>
        <v>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2524-ACA6-3B48-AE6C-FFE7600CD6A1}">
  <dimension ref="A1:T21"/>
  <sheetViews>
    <sheetView topLeftCell="N1" zoomScaleNormal="93" workbookViewId="0">
      <selection activeCell="K18" sqref="A1:T21"/>
    </sheetView>
  </sheetViews>
  <sheetFormatPr baseColWidth="10" defaultRowHeight="16" x14ac:dyDescent="0.2"/>
  <cols>
    <col min="1" max="1" width="11.6640625" bestFit="1" customWidth="1"/>
    <col min="2" max="2" width="14.6640625" bestFit="1" customWidth="1"/>
    <col min="3" max="3" width="11" bestFit="1" customWidth="1"/>
    <col min="7" max="7" width="15.1640625" bestFit="1" customWidth="1"/>
    <col min="10" max="10" width="12.6640625" bestFit="1" customWidth="1"/>
    <col min="14" max="14" width="17.6640625" bestFit="1" customWidth="1"/>
    <col min="17" max="17" width="10.6640625" bestFit="1" customWidth="1"/>
    <col min="18" max="18" width="13.83203125" customWidth="1"/>
    <col min="20" max="20" width="15" bestFit="1" customWidth="1"/>
  </cols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64</v>
      </c>
      <c r="B2" t="s">
        <v>65</v>
      </c>
      <c r="C2" t="s">
        <v>66</v>
      </c>
      <c r="D2" t="s">
        <v>67</v>
      </c>
      <c r="E2" s="3" t="s">
        <v>68</v>
      </c>
      <c r="F2" s="3" t="s">
        <v>76</v>
      </c>
      <c r="G2" s="9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</row>
    <row r="3" spans="1:20" x14ac:dyDescent="0.2">
      <c r="A3" t="s">
        <v>72</v>
      </c>
      <c r="B3" t="s">
        <v>73</v>
      </c>
      <c r="C3" t="s">
        <v>74</v>
      </c>
      <c r="D3" t="s">
        <v>75</v>
      </c>
      <c r="E3" s="9">
        <v>44845</v>
      </c>
      <c r="F3" s="9">
        <v>46293</v>
      </c>
      <c r="G3" s="3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</row>
    <row r="4" spans="1:20" x14ac:dyDescent="0.2">
      <c r="A4" t="s">
        <v>80</v>
      </c>
      <c r="B4" t="s">
        <v>81</v>
      </c>
      <c r="C4" t="s">
        <v>82</v>
      </c>
      <c r="D4" t="s">
        <v>83</v>
      </c>
      <c r="E4" s="3" t="s">
        <v>84</v>
      </c>
      <c r="F4" s="9">
        <v>46027</v>
      </c>
      <c r="G4" s="3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</row>
    <row r="5" spans="1:20" x14ac:dyDescent="0.2">
      <c r="A5" t="s">
        <v>87</v>
      </c>
      <c r="B5" t="s">
        <v>88</v>
      </c>
      <c r="C5" t="s">
        <v>89</v>
      </c>
      <c r="D5" t="s">
        <v>90</v>
      </c>
      <c r="E5" s="9">
        <v>45598</v>
      </c>
      <c r="F5" s="3" t="s">
        <v>91</v>
      </c>
      <c r="G5" s="9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</row>
    <row r="6" spans="1:20" x14ac:dyDescent="0.2">
      <c r="A6" t="s">
        <v>94</v>
      </c>
      <c r="B6" t="s">
        <v>95</v>
      </c>
      <c r="C6" t="s">
        <v>66</v>
      </c>
      <c r="D6" t="s">
        <v>67</v>
      </c>
      <c r="E6" s="9">
        <v>43842</v>
      </c>
      <c r="F6" s="3" t="s">
        <v>96</v>
      </c>
      <c r="G6" s="3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</row>
    <row r="7" spans="1:20" x14ac:dyDescent="0.2">
      <c r="A7" t="s">
        <v>99</v>
      </c>
      <c r="B7" t="s">
        <v>100</v>
      </c>
      <c r="C7" t="s">
        <v>101</v>
      </c>
      <c r="D7" t="s">
        <v>75</v>
      </c>
      <c r="E7" s="3" t="s">
        <v>102</v>
      </c>
      <c r="F7" s="3" t="s">
        <v>164</v>
      </c>
      <c r="G7" s="3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</row>
    <row r="8" spans="1:20" x14ac:dyDescent="0.2">
      <c r="A8" t="s">
        <v>105</v>
      </c>
      <c r="B8" t="s">
        <v>106</v>
      </c>
      <c r="C8" t="s">
        <v>82</v>
      </c>
      <c r="D8" t="s">
        <v>83</v>
      </c>
      <c r="E8" s="3" t="s">
        <v>107</v>
      </c>
      <c r="F8" s="9">
        <v>46178</v>
      </c>
      <c r="G8" s="9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</row>
    <row r="9" spans="1:20" x14ac:dyDescent="0.2">
      <c r="A9" t="s">
        <v>110</v>
      </c>
      <c r="B9" t="s">
        <v>111</v>
      </c>
      <c r="C9" t="s">
        <v>89</v>
      </c>
      <c r="D9" t="s">
        <v>90</v>
      </c>
      <c r="E9" s="3" t="s">
        <v>112</v>
      </c>
      <c r="F9" s="9">
        <v>46178</v>
      </c>
      <c r="G9" s="3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</row>
    <row r="10" spans="1:20" x14ac:dyDescent="0.2">
      <c r="A10" t="s">
        <v>114</v>
      </c>
      <c r="B10" t="s">
        <v>115</v>
      </c>
      <c r="C10" t="s">
        <v>74</v>
      </c>
      <c r="D10" t="s">
        <v>75</v>
      </c>
      <c r="E10" s="9">
        <v>45536</v>
      </c>
      <c r="F10" s="3" t="s">
        <v>165</v>
      </c>
      <c r="G10" s="9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</row>
    <row r="11" spans="1:20" x14ac:dyDescent="0.2">
      <c r="A11" t="s">
        <v>117</v>
      </c>
      <c r="B11" t="s">
        <v>118</v>
      </c>
      <c r="C11" t="s">
        <v>101</v>
      </c>
      <c r="D11" t="s">
        <v>67</v>
      </c>
      <c r="E11" s="3" t="s">
        <v>119</v>
      </c>
      <c r="F11" s="9">
        <v>46086</v>
      </c>
      <c r="G11" s="3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</row>
    <row r="12" spans="1:20" x14ac:dyDescent="0.2">
      <c r="A12" t="s">
        <v>121</v>
      </c>
      <c r="B12" t="s">
        <v>122</v>
      </c>
      <c r="C12" t="s">
        <v>66</v>
      </c>
      <c r="D12" t="s">
        <v>83</v>
      </c>
      <c r="E12" s="9">
        <v>45264</v>
      </c>
      <c r="F12" s="9">
        <v>46239</v>
      </c>
      <c r="G12" s="9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</row>
    <row r="13" spans="1:20" x14ac:dyDescent="0.2">
      <c r="A13" t="s">
        <v>124</v>
      </c>
      <c r="B13" t="s">
        <v>125</v>
      </c>
      <c r="C13" t="s">
        <v>82</v>
      </c>
      <c r="D13" t="s">
        <v>90</v>
      </c>
      <c r="E13" s="3" t="s">
        <v>126</v>
      </c>
      <c r="F13" s="3" t="s">
        <v>127</v>
      </c>
      <c r="G13" s="3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</row>
    <row r="14" spans="1:20" x14ac:dyDescent="0.2">
      <c r="A14" t="s">
        <v>130</v>
      </c>
      <c r="B14" t="s">
        <v>131</v>
      </c>
      <c r="C14" t="s">
        <v>89</v>
      </c>
      <c r="D14" t="s">
        <v>75</v>
      </c>
      <c r="E14" s="3" t="s">
        <v>132</v>
      </c>
      <c r="F14" s="9">
        <v>46058</v>
      </c>
      <c r="G14" s="3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</row>
    <row r="15" spans="1:20" x14ac:dyDescent="0.2">
      <c r="A15" t="s">
        <v>134</v>
      </c>
      <c r="B15" t="s">
        <v>135</v>
      </c>
      <c r="C15" t="s">
        <v>74</v>
      </c>
      <c r="D15" t="s">
        <v>83</v>
      </c>
      <c r="E15" s="3" t="s">
        <v>136</v>
      </c>
      <c r="F15" s="3" t="s">
        <v>137</v>
      </c>
      <c r="G15" s="3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</row>
    <row r="16" spans="1:20" x14ac:dyDescent="0.2">
      <c r="A16" t="s">
        <v>139</v>
      </c>
      <c r="B16" t="s">
        <v>140</v>
      </c>
      <c r="C16" t="s">
        <v>101</v>
      </c>
      <c r="D16" t="s">
        <v>67</v>
      </c>
      <c r="E16" s="9">
        <v>44997</v>
      </c>
      <c r="F16" s="3" t="s">
        <v>141</v>
      </c>
      <c r="G16" s="3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 s="9">
        <v>44511</v>
      </c>
      <c r="F17" s="3" t="s">
        <v>96</v>
      </c>
      <c r="G17" s="9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 s="9">
        <v>44050</v>
      </c>
      <c r="F18" s="3" t="s">
        <v>148</v>
      </c>
      <c r="G18" s="9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 s="3" t="s">
        <v>152</v>
      </c>
      <c r="F19" s="9">
        <v>46147</v>
      </c>
      <c r="G19" s="3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 s="3" t="s">
        <v>156</v>
      </c>
      <c r="F20" s="3" t="s">
        <v>157</v>
      </c>
      <c r="G20" s="3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 s="3" t="s">
        <v>162</v>
      </c>
      <c r="F21" s="9">
        <v>46361</v>
      </c>
      <c r="G21" s="3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</row>
  </sheetData>
  <conditionalFormatting sqref="F2:F21">
    <cfRule type="timePeriod" dxfId="31" priority="8" timePeriod="yesterday">
      <formula>FLOOR(F2,1)=TODAY()-1</formula>
    </cfRule>
    <cfRule type="timePeriod" dxfId="30" priority="11" timePeriod="yesterday">
      <formula>FLOOR(F2,1)=TODAY()-1</formula>
    </cfRule>
  </conditionalFormatting>
  <conditionalFormatting sqref="I2:I21">
    <cfRule type="top10" dxfId="29" priority="6" rank="3"/>
  </conditionalFormatting>
  <conditionalFormatting sqref="J2:J21">
    <cfRule type="top10" dxfId="28" priority="4" bottom="1" rank="6"/>
  </conditionalFormatting>
  <conditionalFormatting sqref="K2:K21">
    <cfRule type="top10" dxfId="27" priority="3" percent="1" bottom="1" rank="20"/>
    <cfRule type="top10" dxfId="26" priority="5" percent="1" rank="20"/>
  </conditionalFormatting>
  <conditionalFormatting sqref="N2:N21">
    <cfRule type="cellIs" dxfId="25" priority="13" operator="equal">
      <formula>5</formula>
    </cfRule>
  </conditionalFormatting>
  <conditionalFormatting sqref="P2:P21">
    <cfRule type="aboveAverage" dxfId="24" priority="1" aboveAverage="0"/>
    <cfRule type="aboveAverage" dxfId="23" priority="2"/>
  </conditionalFormatting>
  <conditionalFormatting sqref="Q2:Q21">
    <cfRule type="cellIs" dxfId="22" priority="14" operator="between">
      <formula>5</formula>
      <formula>14</formula>
    </cfRule>
    <cfRule type="cellIs" dxfId="21" priority="15" operator="lessThan">
      <formula>5</formula>
    </cfRule>
    <cfRule type="cellIs" dxfId="20" priority="16" operator="greaterThan">
      <formula>14</formula>
    </cfRule>
  </conditionalFormatting>
  <conditionalFormatting sqref="S2:S21">
    <cfRule type="containsText" dxfId="19" priority="12" operator="containsText" text="NO">
      <formula>NOT(ISERROR(SEARCH("NO",S2)))</formula>
    </cfRule>
  </conditionalFormatting>
  <conditionalFormatting sqref="T2:T21">
    <cfRule type="duplicateValues" dxfId="18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16450-8EA5-E048-B4A4-5A10DFA401B5}">
  <dimension ref="A1:T21"/>
  <sheetViews>
    <sheetView zoomScale="75" workbookViewId="0">
      <selection activeCell="L15" sqref="L15"/>
    </sheetView>
  </sheetViews>
  <sheetFormatPr baseColWidth="10" defaultRowHeight="16" x14ac:dyDescent="0.2"/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150</v>
      </c>
      <c r="B2" t="s">
        <v>151</v>
      </c>
      <c r="C2" s="13" t="s">
        <v>89</v>
      </c>
      <c r="D2" s="10" t="s">
        <v>83</v>
      </c>
      <c r="E2" s="3" t="s">
        <v>152</v>
      </c>
      <c r="F2" s="9">
        <v>46147</v>
      </c>
      <c r="G2" s="3" t="s">
        <v>97</v>
      </c>
      <c r="H2">
        <v>39000</v>
      </c>
      <c r="I2">
        <v>18000</v>
      </c>
      <c r="J2">
        <v>-25</v>
      </c>
      <c r="K2">
        <v>58</v>
      </c>
      <c r="L2">
        <v>10</v>
      </c>
      <c r="M2">
        <v>35</v>
      </c>
      <c r="N2">
        <v>1</v>
      </c>
      <c r="O2">
        <v>52000</v>
      </c>
      <c r="P2">
        <v>0</v>
      </c>
      <c r="Q2">
        <v>18</v>
      </c>
      <c r="R2" t="s">
        <v>92</v>
      </c>
      <c r="S2" t="s">
        <v>78</v>
      </c>
      <c r="T2" t="s">
        <v>153</v>
      </c>
    </row>
    <row r="3" spans="1:20" x14ac:dyDescent="0.2">
      <c r="A3" t="s">
        <v>87</v>
      </c>
      <c r="B3" t="s">
        <v>88</v>
      </c>
      <c r="C3" t="s">
        <v>89</v>
      </c>
      <c r="D3" s="10" t="s">
        <v>90</v>
      </c>
      <c r="E3" s="9">
        <v>45598</v>
      </c>
      <c r="F3" s="3" t="s">
        <v>91</v>
      </c>
      <c r="G3" s="9">
        <v>46028</v>
      </c>
      <c r="H3">
        <v>45000</v>
      </c>
      <c r="I3">
        <v>43000</v>
      </c>
      <c r="J3">
        <v>-2</v>
      </c>
      <c r="K3">
        <v>76</v>
      </c>
      <c r="L3">
        <v>25</v>
      </c>
      <c r="M3">
        <v>45</v>
      </c>
      <c r="N3">
        <v>2</v>
      </c>
      <c r="O3">
        <v>67000</v>
      </c>
      <c r="P3">
        <v>2000</v>
      </c>
      <c r="Q3">
        <v>8</v>
      </c>
      <c r="R3" t="s">
        <v>92</v>
      </c>
      <c r="S3" t="s">
        <v>70</v>
      </c>
      <c r="T3" t="s">
        <v>93</v>
      </c>
    </row>
    <row r="4" spans="1:20" x14ac:dyDescent="0.2">
      <c r="A4" t="s">
        <v>143</v>
      </c>
      <c r="B4" t="s">
        <v>144</v>
      </c>
      <c r="C4" t="s">
        <v>82</v>
      </c>
      <c r="D4" s="10" t="s">
        <v>90</v>
      </c>
      <c r="E4" s="9">
        <v>44511</v>
      </c>
      <c r="F4" s="3" t="s">
        <v>96</v>
      </c>
      <c r="G4" s="9">
        <v>46240</v>
      </c>
      <c r="H4">
        <v>78000</v>
      </c>
      <c r="I4">
        <v>80000</v>
      </c>
      <c r="J4">
        <v>18</v>
      </c>
      <c r="K4">
        <v>93</v>
      </c>
      <c r="L4">
        <v>58</v>
      </c>
      <c r="M4">
        <v>60</v>
      </c>
      <c r="N4">
        <v>4</v>
      </c>
      <c r="O4">
        <v>102000</v>
      </c>
      <c r="P4">
        <v>14000</v>
      </c>
      <c r="Q4">
        <v>2</v>
      </c>
      <c r="R4" t="s">
        <v>69</v>
      </c>
      <c r="S4" t="s">
        <v>70</v>
      </c>
      <c r="T4" t="s">
        <v>145</v>
      </c>
    </row>
    <row r="5" spans="1:20" x14ac:dyDescent="0.2">
      <c r="A5" t="s">
        <v>139</v>
      </c>
      <c r="B5" t="s">
        <v>140</v>
      </c>
      <c r="C5" t="s">
        <v>101</v>
      </c>
      <c r="D5" s="10" t="s">
        <v>67</v>
      </c>
      <c r="E5" s="9">
        <v>44997</v>
      </c>
      <c r="F5" s="3" t="s">
        <v>141</v>
      </c>
      <c r="G5" s="3" t="s">
        <v>85</v>
      </c>
      <c r="H5">
        <v>50000</v>
      </c>
      <c r="I5">
        <v>32000</v>
      </c>
      <c r="J5">
        <v>-15</v>
      </c>
      <c r="K5">
        <v>65</v>
      </c>
      <c r="L5">
        <v>18</v>
      </c>
      <c r="M5">
        <v>50</v>
      </c>
      <c r="N5">
        <v>1</v>
      </c>
      <c r="O5">
        <v>59000</v>
      </c>
      <c r="P5">
        <v>500</v>
      </c>
      <c r="Q5">
        <v>15</v>
      </c>
      <c r="R5" t="s">
        <v>77</v>
      </c>
      <c r="S5" t="s">
        <v>78</v>
      </c>
      <c r="T5" t="s">
        <v>142</v>
      </c>
    </row>
    <row r="6" spans="1:20" x14ac:dyDescent="0.2">
      <c r="A6" t="s">
        <v>110</v>
      </c>
      <c r="B6" t="s">
        <v>111</v>
      </c>
      <c r="C6" s="13" t="s">
        <v>89</v>
      </c>
      <c r="D6" t="s">
        <v>90</v>
      </c>
      <c r="E6" s="3" t="s">
        <v>112</v>
      </c>
      <c r="F6" s="9">
        <v>46178</v>
      </c>
      <c r="G6" s="3" t="s">
        <v>96</v>
      </c>
      <c r="H6">
        <v>38000</v>
      </c>
      <c r="I6">
        <v>22000</v>
      </c>
      <c r="J6">
        <v>-18</v>
      </c>
      <c r="K6">
        <v>68</v>
      </c>
      <c r="L6">
        <v>15</v>
      </c>
      <c r="M6">
        <v>40</v>
      </c>
      <c r="N6">
        <v>1</v>
      </c>
      <c r="O6">
        <v>54000</v>
      </c>
      <c r="P6">
        <v>0</v>
      </c>
      <c r="Q6">
        <v>12</v>
      </c>
      <c r="R6" t="s">
        <v>92</v>
      </c>
      <c r="S6" t="s">
        <v>78</v>
      </c>
      <c r="T6" t="s">
        <v>113</v>
      </c>
    </row>
    <row r="7" spans="1:20" x14ac:dyDescent="0.2">
      <c r="A7" t="s">
        <v>130</v>
      </c>
      <c r="B7" t="s">
        <v>131</v>
      </c>
      <c r="C7" t="s">
        <v>89</v>
      </c>
      <c r="D7" t="s">
        <v>75</v>
      </c>
      <c r="E7" s="3" t="s">
        <v>132</v>
      </c>
      <c r="F7" s="9">
        <v>46058</v>
      </c>
      <c r="G7" s="3" t="s">
        <v>108</v>
      </c>
      <c r="H7">
        <v>41000</v>
      </c>
      <c r="I7">
        <v>39000</v>
      </c>
      <c r="J7">
        <v>-3</v>
      </c>
      <c r="K7">
        <v>84</v>
      </c>
      <c r="L7">
        <v>29</v>
      </c>
      <c r="M7">
        <v>38</v>
      </c>
      <c r="N7">
        <v>3</v>
      </c>
      <c r="O7">
        <v>64000</v>
      </c>
      <c r="P7">
        <v>2500</v>
      </c>
      <c r="Q7">
        <v>6</v>
      </c>
      <c r="R7" t="s">
        <v>92</v>
      </c>
      <c r="S7" t="s">
        <v>70</v>
      </c>
      <c r="T7" t="s">
        <v>133</v>
      </c>
    </row>
    <row r="8" spans="1:20" x14ac:dyDescent="0.2">
      <c r="A8" t="s">
        <v>114</v>
      </c>
      <c r="B8" t="s">
        <v>115</v>
      </c>
      <c r="C8" s="13" t="s">
        <v>74</v>
      </c>
      <c r="D8" t="s">
        <v>75</v>
      </c>
      <c r="E8" s="9">
        <v>45536</v>
      </c>
      <c r="F8" s="3" t="s">
        <v>165</v>
      </c>
      <c r="G8" s="9">
        <v>46362</v>
      </c>
      <c r="H8">
        <v>31000</v>
      </c>
      <c r="I8">
        <v>30000</v>
      </c>
      <c r="J8">
        <v>4</v>
      </c>
      <c r="K8">
        <v>91</v>
      </c>
      <c r="L8">
        <v>38</v>
      </c>
      <c r="M8">
        <v>42</v>
      </c>
      <c r="N8">
        <v>4</v>
      </c>
      <c r="O8">
        <v>60000</v>
      </c>
      <c r="P8">
        <v>3500</v>
      </c>
      <c r="Q8">
        <v>3</v>
      </c>
      <c r="R8" t="s">
        <v>69</v>
      </c>
      <c r="S8" t="s">
        <v>70</v>
      </c>
      <c r="T8" t="s">
        <v>116</v>
      </c>
    </row>
    <row r="9" spans="1:20" x14ac:dyDescent="0.2">
      <c r="A9" t="s">
        <v>72</v>
      </c>
      <c r="B9" t="s">
        <v>73</v>
      </c>
      <c r="C9" t="s">
        <v>74</v>
      </c>
      <c r="D9" t="s">
        <v>75</v>
      </c>
      <c r="E9" s="9">
        <v>44845</v>
      </c>
      <c r="F9" s="9">
        <v>46293</v>
      </c>
      <c r="G9" s="3" t="s">
        <v>76</v>
      </c>
      <c r="H9">
        <v>30000</v>
      </c>
      <c r="I9">
        <v>28000</v>
      </c>
      <c r="J9">
        <v>-5</v>
      </c>
      <c r="K9">
        <v>88</v>
      </c>
      <c r="L9">
        <v>30</v>
      </c>
      <c r="M9">
        <v>40</v>
      </c>
      <c r="N9">
        <v>3</v>
      </c>
      <c r="O9">
        <v>58000</v>
      </c>
      <c r="P9">
        <v>4000</v>
      </c>
      <c r="Q9">
        <v>5</v>
      </c>
      <c r="R9" t="s">
        <v>77</v>
      </c>
      <c r="S9" t="s">
        <v>78</v>
      </c>
      <c r="T9" t="s">
        <v>79</v>
      </c>
    </row>
    <row r="10" spans="1:20" x14ac:dyDescent="0.2">
      <c r="A10" t="s">
        <v>134</v>
      </c>
      <c r="B10" t="s">
        <v>135</v>
      </c>
      <c r="C10" t="s">
        <v>74</v>
      </c>
      <c r="D10" s="11" t="s">
        <v>83</v>
      </c>
      <c r="E10" s="3" t="s">
        <v>136</v>
      </c>
      <c r="F10" s="3" t="s">
        <v>137</v>
      </c>
      <c r="G10" s="3" t="s">
        <v>138</v>
      </c>
      <c r="H10">
        <v>36000</v>
      </c>
      <c r="I10">
        <v>47000</v>
      </c>
      <c r="J10">
        <v>22</v>
      </c>
      <c r="K10">
        <v>96</v>
      </c>
      <c r="L10">
        <v>44</v>
      </c>
      <c r="M10">
        <v>48</v>
      </c>
      <c r="N10">
        <v>5</v>
      </c>
      <c r="O10">
        <v>71000</v>
      </c>
      <c r="P10">
        <v>9500</v>
      </c>
      <c r="Q10">
        <v>1</v>
      </c>
      <c r="R10" t="s">
        <v>69</v>
      </c>
      <c r="S10" t="s">
        <v>70</v>
      </c>
      <c r="T10" t="s">
        <v>71</v>
      </c>
    </row>
    <row r="11" spans="1:20" x14ac:dyDescent="0.2">
      <c r="A11" t="s">
        <v>154</v>
      </c>
      <c r="B11" t="s">
        <v>155</v>
      </c>
      <c r="C11" t="s">
        <v>74</v>
      </c>
      <c r="D11" t="s">
        <v>67</v>
      </c>
      <c r="E11" s="3" t="s">
        <v>156</v>
      </c>
      <c r="F11" s="3" t="s">
        <v>157</v>
      </c>
      <c r="G11" s="3" t="s">
        <v>158</v>
      </c>
      <c r="H11">
        <v>34000</v>
      </c>
      <c r="I11">
        <v>36000</v>
      </c>
      <c r="J11">
        <v>8</v>
      </c>
      <c r="K11">
        <v>92</v>
      </c>
      <c r="L11">
        <v>39</v>
      </c>
      <c r="M11">
        <v>40</v>
      </c>
      <c r="N11">
        <v>4</v>
      </c>
      <c r="O11">
        <v>63000</v>
      </c>
      <c r="P11">
        <v>4200</v>
      </c>
      <c r="Q11">
        <v>2</v>
      </c>
      <c r="R11" t="s">
        <v>69</v>
      </c>
      <c r="S11" t="s">
        <v>70</v>
      </c>
      <c r="T11" t="s">
        <v>159</v>
      </c>
    </row>
    <row r="12" spans="1:20" x14ac:dyDescent="0.2">
      <c r="A12" t="s">
        <v>160</v>
      </c>
      <c r="B12" t="s">
        <v>161</v>
      </c>
      <c r="C12" t="s">
        <v>101</v>
      </c>
      <c r="D12" s="11" t="s">
        <v>90</v>
      </c>
      <c r="E12" s="3" t="s">
        <v>162</v>
      </c>
      <c r="F12" s="9">
        <v>46361</v>
      </c>
      <c r="G12" s="3" t="s">
        <v>96</v>
      </c>
      <c r="H12">
        <v>46000</v>
      </c>
      <c r="I12">
        <v>60000</v>
      </c>
      <c r="J12">
        <v>28</v>
      </c>
      <c r="K12">
        <v>97</v>
      </c>
      <c r="L12">
        <v>52</v>
      </c>
      <c r="M12">
        <v>55</v>
      </c>
      <c r="N12">
        <v>5</v>
      </c>
      <c r="O12">
        <v>88000</v>
      </c>
      <c r="P12">
        <v>16000</v>
      </c>
      <c r="Q12">
        <v>1</v>
      </c>
      <c r="R12" t="s">
        <v>69</v>
      </c>
      <c r="S12" t="s">
        <v>70</v>
      </c>
      <c r="T12" t="s">
        <v>163</v>
      </c>
    </row>
    <row r="13" spans="1:20" x14ac:dyDescent="0.2">
      <c r="A13" t="s">
        <v>99</v>
      </c>
      <c r="B13" t="s">
        <v>100</v>
      </c>
      <c r="C13" t="s">
        <v>101</v>
      </c>
      <c r="D13" t="s">
        <v>75</v>
      </c>
      <c r="E13" s="3" t="s">
        <v>102</v>
      </c>
      <c r="F13" s="3" t="s">
        <v>164</v>
      </c>
      <c r="G13" s="3" t="s">
        <v>103</v>
      </c>
      <c r="H13">
        <v>40000</v>
      </c>
      <c r="I13">
        <v>35000</v>
      </c>
      <c r="J13">
        <v>-10</v>
      </c>
      <c r="K13">
        <v>82</v>
      </c>
      <c r="L13">
        <v>28</v>
      </c>
      <c r="M13">
        <v>50</v>
      </c>
      <c r="N13">
        <v>2</v>
      </c>
      <c r="O13">
        <v>61000</v>
      </c>
      <c r="P13">
        <v>1000</v>
      </c>
      <c r="Q13">
        <v>7</v>
      </c>
      <c r="R13" t="s">
        <v>77</v>
      </c>
      <c r="S13" t="s">
        <v>78</v>
      </c>
      <c r="T13" t="s">
        <v>104</v>
      </c>
    </row>
    <row r="14" spans="1:20" x14ac:dyDescent="0.2">
      <c r="A14" t="s">
        <v>117</v>
      </c>
      <c r="B14" t="s">
        <v>118</v>
      </c>
      <c r="C14" t="s">
        <v>101</v>
      </c>
      <c r="D14" t="s">
        <v>67</v>
      </c>
      <c r="E14" s="3" t="s">
        <v>119</v>
      </c>
      <c r="F14" s="9">
        <v>46086</v>
      </c>
      <c r="G14" s="3" t="s">
        <v>120</v>
      </c>
      <c r="H14">
        <v>48000</v>
      </c>
      <c r="I14">
        <v>51000</v>
      </c>
      <c r="J14">
        <v>12</v>
      </c>
      <c r="K14">
        <v>94</v>
      </c>
      <c r="L14">
        <v>41</v>
      </c>
      <c r="M14">
        <v>45</v>
      </c>
      <c r="N14">
        <v>4</v>
      </c>
      <c r="O14">
        <v>72000</v>
      </c>
      <c r="P14">
        <v>8500</v>
      </c>
      <c r="Q14">
        <v>2</v>
      </c>
      <c r="R14" t="s">
        <v>69</v>
      </c>
      <c r="S14" t="s">
        <v>70</v>
      </c>
      <c r="T14" t="s">
        <v>93</v>
      </c>
    </row>
    <row r="15" spans="1:20" x14ac:dyDescent="0.2">
      <c r="A15" t="s">
        <v>146</v>
      </c>
      <c r="B15" t="s">
        <v>147</v>
      </c>
      <c r="C15" t="s">
        <v>66</v>
      </c>
      <c r="D15" t="s">
        <v>75</v>
      </c>
      <c r="E15" s="9">
        <v>44050</v>
      </c>
      <c r="F15" s="3" t="s">
        <v>148</v>
      </c>
      <c r="G15" s="9">
        <v>46059</v>
      </c>
      <c r="H15">
        <v>61000</v>
      </c>
      <c r="I15">
        <v>61000</v>
      </c>
      <c r="J15">
        <v>10</v>
      </c>
      <c r="K15">
        <v>89</v>
      </c>
      <c r="L15">
        <v>40</v>
      </c>
      <c r="M15">
        <v>45</v>
      </c>
      <c r="N15">
        <v>4</v>
      </c>
      <c r="O15">
        <v>86000</v>
      </c>
      <c r="P15">
        <v>11000</v>
      </c>
      <c r="Q15">
        <v>4</v>
      </c>
      <c r="R15" t="s">
        <v>69</v>
      </c>
      <c r="S15" t="s">
        <v>70</v>
      </c>
      <c r="T15" t="s">
        <v>149</v>
      </c>
    </row>
    <row r="16" spans="1:20" x14ac:dyDescent="0.2">
      <c r="A16" t="s">
        <v>121</v>
      </c>
      <c r="B16" t="s">
        <v>122</v>
      </c>
      <c r="C16" t="s">
        <v>66</v>
      </c>
      <c r="D16" t="s">
        <v>83</v>
      </c>
      <c r="E16" s="9">
        <v>45264</v>
      </c>
      <c r="F16" s="9">
        <v>46239</v>
      </c>
      <c r="G16" s="9">
        <v>46087</v>
      </c>
      <c r="H16">
        <v>53000</v>
      </c>
      <c r="I16">
        <v>49000</v>
      </c>
      <c r="J16">
        <v>-4</v>
      </c>
      <c r="K16">
        <v>73</v>
      </c>
      <c r="L16">
        <v>20</v>
      </c>
      <c r="M16">
        <v>35</v>
      </c>
      <c r="N16">
        <v>2</v>
      </c>
      <c r="O16">
        <v>69000</v>
      </c>
      <c r="P16">
        <v>1500</v>
      </c>
      <c r="Q16">
        <v>10</v>
      </c>
      <c r="R16" t="s">
        <v>77</v>
      </c>
      <c r="S16" t="s">
        <v>78</v>
      </c>
      <c r="T16" t="s">
        <v>123</v>
      </c>
    </row>
    <row r="17" spans="1:20" x14ac:dyDescent="0.2">
      <c r="A17" t="s">
        <v>94</v>
      </c>
      <c r="B17" t="s">
        <v>95</v>
      </c>
      <c r="C17" s="15" t="s">
        <v>66</v>
      </c>
      <c r="D17" t="s">
        <v>67</v>
      </c>
      <c r="E17" s="9">
        <v>43842</v>
      </c>
      <c r="F17" s="3" t="s">
        <v>96</v>
      </c>
      <c r="G17" s="3" t="s">
        <v>97</v>
      </c>
      <c r="H17">
        <v>55000</v>
      </c>
      <c r="I17">
        <v>55000</v>
      </c>
      <c r="J17">
        <v>15</v>
      </c>
      <c r="K17">
        <v>100</v>
      </c>
      <c r="L17">
        <v>50</v>
      </c>
      <c r="M17">
        <v>50</v>
      </c>
      <c r="N17">
        <v>4</v>
      </c>
      <c r="O17">
        <v>82000</v>
      </c>
      <c r="P17">
        <v>10000</v>
      </c>
      <c r="Q17">
        <v>0</v>
      </c>
      <c r="R17" t="s">
        <v>69</v>
      </c>
      <c r="S17" t="s">
        <v>70</v>
      </c>
      <c r="T17" t="s">
        <v>98</v>
      </c>
    </row>
    <row r="18" spans="1:20" x14ac:dyDescent="0.2">
      <c r="A18" t="s">
        <v>124</v>
      </c>
      <c r="B18" t="s">
        <v>125</v>
      </c>
      <c r="C18" s="14" t="s">
        <v>82</v>
      </c>
      <c r="D18" t="s">
        <v>90</v>
      </c>
      <c r="E18" s="3" t="s">
        <v>126</v>
      </c>
      <c r="F18" s="3" t="s">
        <v>127</v>
      </c>
      <c r="G18" s="3" t="s">
        <v>128</v>
      </c>
      <c r="H18">
        <v>85000</v>
      </c>
      <c r="I18">
        <v>99000</v>
      </c>
      <c r="J18">
        <v>40</v>
      </c>
      <c r="K18">
        <v>99</v>
      </c>
      <c r="L18">
        <v>75</v>
      </c>
      <c r="M18">
        <v>80</v>
      </c>
      <c r="N18">
        <v>5</v>
      </c>
      <c r="O18">
        <v>125000</v>
      </c>
      <c r="P18">
        <v>30000</v>
      </c>
      <c r="Q18">
        <v>0</v>
      </c>
      <c r="R18" t="s">
        <v>69</v>
      </c>
      <c r="S18" t="s">
        <v>70</v>
      </c>
      <c r="T18" t="s">
        <v>129</v>
      </c>
    </row>
    <row r="19" spans="1:20" x14ac:dyDescent="0.2">
      <c r="A19" t="s">
        <v>80</v>
      </c>
      <c r="B19" t="s">
        <v>81</v>
      </c>
      <c r="C19" s="14" t="s">
        <v>82</v>
      </c>
      <c r="D19" t="s">
        <v>83</v>
      </c>
      <c r="E19" s="3" t="s">
        <v>84</v>
      </c>
      <c r="F19" s="9">
        <v>46027</v>
      </c>
      <c r="G19" s="3" t="s">
        <v>85</v>
      </c>
      <c r="H19">
        <v>70000</v>
      </c>
      <c r="I19">
        <v>81000</v>
      </c>
      <c r="J19">
        <v>30</v>
      </c>
      <c r="K19">
        <v>73</v>
      </c>
      <c r="L19">
        <v>60</v>
      </c>
      <c r="M19">
        <v>65</v>
      </c>
      <c r="N19">
        <v>5</v>
      </c>
      <c r="O19">
        <v>98000</v>
      </c>
      <c r="P19">
        <v>18000</v>
      </c>
      <c r="Q19">
        <v>1</v>
      </c>
      <c r="R19" t="s">
        <v>69</v>
      </c>
      <c r="S19" t="s">
        <v>70</v>
      </c>
      <c r="T19" t="s">
        <v>86</v>
      </c>
    </row>
    <row r="20" spans="1:20" x14ac:dyDescent="0.2">
      <c r="A20" t="s">
        <v>105</v>
      </c>
      <c r="B20" t="s">
        <v>106</v>
      </c>
      <c r="C20" s="15" t="s">
        <v>82</v>
      </c>
      <c r="D20" s="12" t="s">
        <v>83</v>
      </c>
      <c r="E20" s="3" t="s">
        <v>107</v>
      </c>
      <c r="F20" s="9">
        <v>46178</v>
      </c>
      <c r="G20" s="9">
        <v>46148</v>
      </c>
      <c r="H20">
        <v>72000</v>
      </c>
      <c r="I20">
        <v>92000</v>
      </c>
      <c r="J20">
        <v>35</v>
      </c>
      <c r="K20">
        <v>96</v>
      </c>
      <c r="L20">
        <v>66</v>
      </c>
      <c r="M20">
        <v>70</v>
      </c>
      <c r="N20">
        <v>5</v>
      </c>
      <c r="O20">
        <v>110000</v>
      </c>
      <c r="P20">
        <v>25000</v>
      </c>
      <c r="Q20">
        <v>1</v>
      </c>
      <c r="R20" t="s">
        <v>69</v>
      </c>
      <c r="S20" t="s">
        <v>70</v>
      </c>
      <c r="T20" t="s">
        <v>109</v>
      </c>
    </row>
    <row r="21" spans="1:20" x14ac:dyDescent="0.2">
      <c r="A21" t="s">
        <v>64</v>
      </c>
      <c r="B21" t="s">
        <v>65</v>
      </c>
      <c r="C21" t="s">
        <v>66</v>
      </c>
      <c r="D21" s="12" t="s">
        <v>67</v>
      </c>
      <c r="E21" s="3" t="s">
        <v>68</v>
      </c>
      <c r="F21" s="3" t="s">
        <v>76</v>
      </c>
      <c r="G21" s="9">
        <v>46301</v>
      </c>
      <c r="H21">
        <v>50000</v>
      </c>
      <c r="I21">
        <v>62000</v>
      </c>
      <c r="J21">
        <v>24</v>
      </c>
      <c r="K21">
        <v>98</v>
      </c>
      <c r="L21">
        <v>45</v>
      </c>
      <c r="M21">
        <v>50</v>
      </c>
      <c r="N21">
        <v>5</v>
      </c>
      <c r="O21">
        <v>75000</v>
      </c>
      <c r="P21">
        <v>12000</v>
      </c>
      <c r="Q21">
        <v>2</v>
      </c>
      <c r="R21" t="s">
        <v>69</v>
      </c>
      <c r="S21" t="s">
        <v>70</v>
      </c>
      <c r="T21" t="s">
        <v>71</v>
      </c>
    </row>
  </sheetData>
  <sortState xmlns:xlrd2="http://schemas.microsoft.com/office/spreadsheetml/2017/richdata2" ref="A2:T21">
    <sortCondition sortBy="cellColor" ref="D2:D21" dxfId="35"/>
    <sortCondition descending="1" sortBy="cellColor" ref="D2:D21" dxfId="34"/>
    <sortCondition sortBy="fontColor" ref="C2:C21" dxfId="33"/>
    <sortCondition descending="1" sortBy="fontColor" ref="C2:C21" dxfId="32"/>
  </sortState>
  <conditionalFormatting sqref="A2:T21">
    <cfRule type="expression" dxfId="17" priority="3">
      <formula>$D2="North"</formula>
    </cfRule>
  </conditionalFormatting>
  <conditionalFormatting sqref="F2:F21">
    <cfRule type="timePeriod" dxfId="16" priority="12" timePeriod="yesterday">
      <formula>FLOOR(F2,1)=TODAY()-1</formula>
    </cfRule>
    <cfRule type="timePeriod" dxfId="15" priority="13" timePeriod="yesterday">
      <formula>FLOOR(F2,1)=TODAY()-1</formula>
    </cfRule>
  </conditionalFormatting>
  <conditionalFormatting sqref="I2:I21">
    <cfRule type="top10" dxfId="14" priority="10" rank="3"/>
  </conditionalFormatting>
  <conditionalFormatting sqref="J2:J21">
    <cfRule type="top10" dxfId="13" priority="8" bottom="1" rank="6"/>
  </conditionalFormatting>
  <conditionalFormatting sqref="K2:K21">
    <cfRule type="top10" dxfId="12" priority="7" percent="1" bottom="1" rank="20"/>
    <cfRule type="top10" dxfId="11" priority="9" percent="1" rank="20"/>
  </conditionalFormatting>
  <conditionalFormatting sqref="N2:N2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{CB04B32F-7EE5-8440-84F7-080BEFD6D231}</x14:id>
        </ext>
      </extLst>
    </cfRule>
    <cfRule type="cellIs" dxfId="10" priority="15" operator="equal">
      <formula>5</formula>
    </cfRule>
  </conditionalFormatting>
  <conditionalFormatting sqref="P2:P21">
    <cfRule type="aboveAverage" dxfId="9" priority="5" aboveAverage="0"/>
    <cfRule type="aboveAverage" dxfId="8" priority="6"/>
  </conditionalFormatting>
  <conditionalFormatting sqref="Q2:Q21">
    <cfRule type="cellIs" dxfId="7" priority="16" operator="between">
      <formula>5</formula>
      <formula>14</formula>
    </cfRule>
    <cfRule type="cellIs" dxfId="6" priority="17" operator="lessThan">
      <formula>5</formula>
    </cfRule>
    <cfRule type="cellIs" dxfId="5" priority="18" operator="greaterThan">
      <formula>14</formula>
    </cfRule>
  </conditionalFormatting>
  <conditionalFormatting sqref="S2:S21">
    <cfRule type="containsText" dxfId="4" priority="14" operator="containsText" text="NO">
      <formula>NOT(ISERROR(SEARCH("NO",S2)))</formula>
    </cfRule>
  </conditionalFormatting>
  <conditionalFormatting sqref="T2:T21">
    <cfRule type="duplicateValues" dxfId="3" priority="1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4B32F-7EE5-8440-84F7-080BEFD6D2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N2:N21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11052-5A01-5448-A5AF-9F5B221072ED}">
  <dimension ref="A1:K16"/>
  <sheetViews>
    <sheetView topLeftCell="D1" zoomScale="140" zoomScaleNormal="312" workbookViewId="0">
      <selection activeCell="D13" sqref="D13"/>
    </sheetView>
  </sheetViews>
  <sheetFormatPr baseColWidth="10" defaultRowHeight="16" x14ac:dyDescent="0.2"/>
  <cols>
    <col min="3" max="3" width="12.1640625" bestFit="1" customWidth="1"/>
    <col min="4" max="4" width="17.33203125" bestFit="1" customWidth="1"/>
    <col min="5" max="5" width="16" style="1" customWidth="1"/>
    <col min="6" max="6" width="21" bestFit="1" customWidth="1"/>
    <col min="7" max="7" width="15.6640625" customWidth="1"/>
  </cols>
  <sheetData>
    <row r="1" spans="1:11" x14ac:dyDescent="0.2">
      <c r="A1" t="s">
        <v>258</v>
      </c>
      <c r="B1" t="s">
        <v>259</v>
      </c>
      <c r="C1" t="s">
        <v>260</v>
      </c>
      <c r="D1" t="s">
        <v>261</v>
      </c>
      <c r="E1" s="1" t="s">
        <v>273</v>
      </c>
      <c r="F1" t="s">
        <v>274</v>
      </c>
      <c r="G1" t="s">
        <v>275</v>
      </c>
      <c r="H1" t="s">
        <v>276</v>
      </c>
    </row>
    <row r="2" spans="1:11" x14ac:dyDescent="0.2">
      <c r="A2">
        <v>1</v>
      </c>
      <c r="B2" t="s">
        <v>262</v>
      </c>
      <c r="C2" t="s">
        <v>263</v>
      </c>
      <c r="D2" t="s">
        <v>269</v>
      </c>
      <c r="E2" s="1" t="s">
        <v>281</v>
      </c>
      <c r="F2" s="22" t="s">
        <v>277</v>
      </c>
      <c r="G2" t="s">
        <v>286</v>
      </c>
      <c r="H2">
        <v>12345</v>
      </c>
      <c r="J2" t="s">
        <v>275</v>
      </c>
    </row>
    <row r="3" spans="1:11" x14ac:dyDescent="0.2">
      <c r="A3">
        <v>2</v>
      </c>
      <c r="B3" t="s">
        <v>266</v>
      </c>
      <c r="C3" t="s">
        <v>264</v>
      </c>
      <c r="D3" t="s">
        <v>265</v>
      </c>
      <c r="E3" s="1" t="s">
        <v>266</v>
      </c>
      <c r="F3" s="22" t="s">
        <v>278</v>
      </c>
      <c r="G3" t="s">
        <v>287</v>
      </c>
      <c r="H3">
        <v>22345</v>
      </c>
      <c r="J3" t="s">
        <v>269</v>
      </c>
      <c r="K3">
        <v>12345</v>
      </c>
    </row>
    <row r="4" spans="1:11" x14ac:dyDescent="0.2">
      <c r="A4">
        <v>3</v>
      </c>
      <c r="B4" t="s">
        <v>249</v>
      </c>
      <c r="C4" t="s">
        <v>268</v>
      </c>
      <c r="D4" t="s">
        <v>269</v>
      </c>
      <c r="E4" s="1" t="s">
        <v>283</v>
      </c>
      <c r="F4" s="22" t="s">
        <v>279</v>
      </c>
      <c r="G4" t="s">
        <v>288</v>
      </c>
      <c r="H4">
        <v>32345</v>
      </c>
      <c r="J4" t="s">
        <v>265</v>
      </c>
      <c r="K4">
        <v>22345</v>
      </c>
    </row>
    <row r="5" spans="1:11" x14ac:dyDescent="0.2">
      <c r="A5">
        <v>4</v>
      </c>
      <c r="B5" t="s">
        <v>271</v>
      </c>
      <c r="C5" t="s">
        <v>272</v>
      </c>
      <c r="D5" t="s">
        <v>270</v>
      </c>
      <c r="E5" s="1" t="s">
        <v>284</v>
      </c>
      <c r="F5" s="22" t="s">
        <v>280</v>
      </c>
      <c r="G5" t="s">
        <v>289</v>
      </c>
      <c r="H5">
        <v>42345</v>
      </c>
      <c r="J5" t="s">
        <v>269</v>
      </c>
      <c r="K5">
        <v>32345</v>
      </c>
    </row>
    <row r="6" spans="1:11" x14ac:dyDescent="0.2">
      <c r="A6">
        <v>5</v>
      </c>
      <c r="B6" t="s">
        <v>262</v>
      </c>
      <c r="C6" t="s">
        <v>267</v>
      </c>
      <c r="D6" t="s">
        <v>269</v>
      </c>
      <c r="E6" s="1" t="s">
        <v>285</v>
      </c>
      <c r="F6" s="22" t="s">
        <v>277</v>
      </c>
      <c r="G6" t="s">
        <v>290</v>
      </c>
      <c r="H6">
        <v>52345</v>
      </c>
      <c r="J6" t="s">
        <v>270</v>
      </c>
      <c r="K6">
        <v>42345</v>
      </c>
    </row>
    <row r="7" spans="1:11" x14ac:dyDescent="0.2">
      <c r="A7">
        <v>2</v>
      </c>
      <c r="B7" t="s">
        <v>266</v>
      </c>
      <c r="C7" t="s">
        <v>264</v>
      </c>
      <c r="D7" t="s">
        <v>265</v>
      </c>
      <c r="E7" s="1" t="s">
        <v>282</v>
      </c>
      <c r="F7" s="22" t="s">
        <v>278</v>
      </c>
      <c r="G7" t="s">
        <v>287</v>
      </c>
      <c r="H7">
        <v>22345</v>
      </c>
      <c r="J7" t="s">
        <v>269</v>
      </c>
      <c r="K7">
        <v>52345</v>
      </c>
    </row>
    <row r="8" spans="1:11" x14ac:dyDescent="0.2">
      <c r="J8" t="s">
        <v>265</v>
      </c>
      <c r="K8">
        <v>22345</v>
      </c>
    </row>
    <row r="11" spans="1:11" x14ac:dyDescent="0.2">
      <c r="B11" t="s">
        <v>291</v>
      </c>
      <c r="C11" t="s">
        <v>292</v>
      </c>
      <c r="D11" t="s">
        <v>293</v>
      </c>
      <c r="E11" s="1" t="s">
        <v>294</v>
      </c>
    </row>
    <row r="12" spans="1:11" x14ac:dyDescent="0.2">
      <c r="B12" t="s">
        <v>295</v>
      </c>
      <c r="C12">
        <v>1991</v>
      </c>
      <c r="D12" t="s">
        <v>296</v>
      </c>
      <c r="E12" s="1" t="s">
        <v>297</v>
      </c>
    </row>
    <row r="13" spans="1:11" x14ac:dyDescent="0.2">
      <c r="B13" t="s">
        <v>298</v>
      </c>
      <c r="C13">
        <v>1995</v>
      </c>
      <c r="D13" t="s">
        <v>299</v>
      </c>
      <c r="E13" s="1" t="s">
        <v>297</v>
      </c>
    </row>
    <row r="14" spans="1:11" x14ac:dyDescent="0.2">
      <c r="B14" t="s">
        <v>300</v>
      </c>
      <c r="C14">
        <v>1972</v>
      </c>
      <c r="D14" t="s">
        <v>301</v>
      </c>
      <c r="E14" s="1" t="s">
        <v>302</v>
      </c>
    </row>
    <row r="15" spans="1:11" x14ac:dyDescent="0.2">
      <c r="B15" t="s">
        <v>303</v>
      </c>
      <c r="C15">
        <v>1995</v>
      </c>
      <c r="D15" t="s">
        <v>304</v>
      </c>
      <c r="E15" s="1" t="s">
        <v>302</v>
      </c>
    </row>
    <row r="16" spans="1:11" x14ac:dyDescent="0.2">
      <c r="B16" t="s">
        <v>305</v>
      </c>
      <c r="C16">
        <v>1995</v>
      </c>
      <c r="D16" t="s">
        <v>306</v>
      </c>
      <c r="E16" s="1" t="s">
        <v>297</v>
      </c>
    </row>
  </sheetData>
  <hyperlinks>
    <hyperlink ref="F2" r:id="rId1" xr:uid="{143C84FB-B47B-274A-A403-ED889FE7D750}"/>
    <hyperlink ref="F3" r:id="rId2" xr:uid="{B2743A6A-C046-4246-AB48-F9129FF2D428}"/>
    <hyperlink ref="F4" r:id="rId3" xr:uid="{6C2BAC39-E014-A744-8027-64AE74D41CD0}"/>
    <hyperlink ref="F5" r:id="rId4" xr:uid="{45892393-4E87-574A-AE71-8720F48619EC}"/>
    <hyperlink ref="F6" r:id="rId5" xr:uid="{8D69A259-0ED2-634A-8EFC-45F4B0F857B3}"/>
    <hyperlink ref="F7" r:id="rId6" xr:uid="{CF29E64B-FB2C-4F48-AD8A-C4276B6212A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3F1D-6449-0F4D-8DB6-F82B9369689B}">
  <dimension ref="A1:AS68"/>
  <sheetViews>
    <sheetView zoomScale="40" zoomScaleNormal="125" workbookViewId="0">
      <selection activeCell="X9" sqref="X9"/>
    </sheetView>
  </sheetViews>
  <sheetFormatPr baseColWidth="10" defaultRowHeight="16" x14ac:dyDescent="0.2"/>
  <cols>
    <col min="2" max="2" width="16.33203125" bestFit="1" customWidth="1"/>
    <col min="3" max="3" width="11.83203125" bestFit="1" customWidth="1"/>
    <col min="5" max="7" width="10.83203125" style="5"/>
    <col min="12" max="12" width="15.33203125" bestFit="1" customWidth="1"/>
    <col min="14" max="14" width="17.6640625" bestFit="1" customWidth="1"/>
    <col min="20" max="20" width="15" bestFit="1" customWidth="1"/>
    <col min="21" max="22" width="15" customWidth="1"/>
    <col min="24" max="24" width="11" bestFit="1" customWidth="1"/>
    <col min="26" max="26" width="14.1640625" bestFit="1" customWidth="1"/>
    <col min="27" max="27" width="14.6640625" bestFit="1" customWidth="1"/>
    <col min="28" max="28" width="11" bestFit="1" customWidth="1"/>
    <col min="30" max="31" width="10.83203125" style="3"/>
    <col min="32" max="32" width="15.1640625" style="3" bestFit="1" customWidth="1"/>
  </cols>
  <sheetData>
    <row r="1" spans="1:45" x14ac:dyDescent="0.2">
      <c r="A1" t="s">
        <v>44</v>
      </c>
      <c r="B1" t="s">
        <v>45</v>
      </c>
      <c r="C1" t="s">
        <v>46</v>
      </c>
      <c r="D1" t="s">
        <v>47</v>
      </c>
      <c r="E1" s="5" t="s">
        <v>48</v>
      </c>
      <c r="F1" s="5" t="s">
        <v>49</v>
      </c>
      <c r="G1" s="5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Z1" t="s">
        <v>44</v>
      </c>
      <c r="AA1" t="s">
        <v>45</v>
      </c>
      <c r="AB1" t="s">
        <v>46</v>
      </c>
      <c r="AC1" t="s">
        <v>47</v>
      </c>
      <c r="AD1" s="5" t="s">
        <v>48</v>
      </c>
      <c r="AE1" s="5" t="s">
        <v>49</v>
      </c>
      <c r="AF1" s="5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  <c r="AP1" t="s">
        <v>60</v>
      </c>
      <c r="AQ1" t="s">
        <v>61</v>
      </c>
      <c r="AR1" t="s">
        <v>62</v>
      </c>
      <c r="AS1" t="s">
        <v>63</v>
      </c>
    </row>
    <row r="2" spans="1:45" x14ac:dyDescent="0.2">
      <c r="A2" t="s">
        <v>64</v>
      </c>
      <c r="B2" t="s">
        <v>65</v>
      </c>
      <c r="C2" t="s">
        <v>66</v>
      </c>
      <c r="D2" t="s">
        <v>67</v>
      </c>
      <c r="E2" s="5" t="s">
        <v>68</v>
      </c>
      <c r="F2" s="5" t="s">
        <v>166</v>
      </c>
      <c r="G2" s="16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  <c r="Y2">
        <f>IF(X8="Employee_ID",1,IF(X8="Employee_Name",2,IF(X8="Department",3,IF(X8="Region",4,IF(X8="Join_Date",5,IF(X8="Last_Login",6,IF(X8="Project_Deadline",7,IF(X8="Sales_Target",8,""))))))))</f>
        <v>1</v>
      </c>
      <c r="Z2" t="str" cm="1">
        <f t="array" ref="Z2:AS21">_xlfn._xlws.SORT(A2:T21,Y2,Y4)</f>
        <v>E001</v>
      </c>
      <c r="AA2" t="str">
        <v>Aarav Mehta</v>
      </c>
      <c r="AB2" t="str">
        <v>Sales</v>
      </c>
      <c r="AC2" t="str">
        <v>West</v>
      </c>
      <c r="AD2" s="3" t="str">
        <v>1/15/2023</v>
      </c>
      <c r="AE2" s="3" t="str">
        <v>5/25/2026</v>
      </c>
      <c r="AF2" s="3">
        <v>46301</v>
      </c>
      <c r="AG2">
        <v>50000</v>
      </c>
      <c r="AH2">
        <v>62000</v>
      </c>
      <c r="AI2">
        <v>24</v>
      </c>
      <c r="AJ2">
        <v>98</v>
      </c>
      <c r="AK2">
        <v>45</v>
      </c>
      <c r="AL2">
        <v>50</v>
      </c>
      <c r="AM2">
        <v>5</v>
      </c>
      <c r="AN2">
        <v>75000</v>
      </c>
      <c r="AO2">
        <v>12000</v>
      </c>
      <c r="AP2">
        <v>2</v>
      </c>
      <c r="AQ2" t="str">
        <v>Completed</v>
      </c>
      <c r="AR2" t="str">
        <v>Yes</v>
      </c>
      <c r="AS2" t="str">
        <v>Excellent</v>
      </c>
    </row>
    <row r="3" spans="1:45" x14ac:dyDescent="0.2">
      <c r="A3" t="s">
        <v>72</v>
      </c>
      <c r="B3" t="s">
        <v>73</v>
      </c>
      <c r="C3" t="s">
        <v>74</v>
      </c>
      <c r="D3" t="s">
        <v>75</v>
      </c>
      <c r="E3" s="16">
        <v>44845</v>
      </c>
      <c r="F3" s="16">
        <v>46300</v>
      </c>
      <c r="G3" s="5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  <c r="Z3" t="str">
        <v>E002</v>
      </c>
      <c r="AA3" t="str">
        <v>Neha Sharma</v>
      </c>
      <c r="AB3" t="str">
        <v>HR</v>
      </c>
      <c r="AC3" t="str">
        <v>North</v>
      </c>
      <c r="AD3" s="3">
        <v>44845</v>
      </c>
      <c r="AE3" s="3">
        <v>46300</v>
      </c>
      <c r="AF3" s="3" t="str">
        <v>5/28/2026</v>
      </c>
      <c r="AG3">
        <v>30000</v>
      </c>
      <c r="AH3">
        <v>28000</v>
      </c>
      <c r="AI3">
        <v>-5</v>
      </c>
      <c r="AJ3">
        <v>88</v>
      </c>
      <c r="AK3">
        <v>30</v>
      </c>
      <c r="AL3">
        <v>40</v>
      </c>
      <c r="AM3">
        <v>3</v>
      </c>
      <c r="AN3">
        <v>58000</v>
      </c>
      <c r="AO3">
        <v>4000</v>
      </c>
      <c r="AP3">
        <v>5</v>
      </c>
      <c r="AQ3" t="str">
        <v>Pending</v>
      </c>
      <c r="AR3" t="str">
        <v>No</v>
      </c>
      <c r="AS3" t="str">
        <v>Low Performance</v>
      </c>
    </row>
    <row r="4" spans="1:45" x14ac:dyDescent="0.2">
      <c r="A4" t="s">
        <v>80</v>
      </c>
      <c r="B4" t="s">
        <v>81</v>
      </c>
      <c r="C4" t="s">
        <v>82</v>
      </c>
      <c r="D4" t="s">
        <v>83</v>
      </c>
      <c r="E4" s="5" t="s">
        <v>84</v>
      </c>
      <c r="F4" s="16">
        <v>46027</v>
      </c>
      <c r="G4" s="5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  <c r="Y4">
        <f>IF(X6="asc",1,-1)</f>
        <v>1</v>
      </c>
      <c r="Z4" t="str">
        <v>E003</v>
      </c>
      <c r="AA4" t="str">
        <v>Rohan Iyer</v>
      </c>
      <c r="AB4" t="str">
        <v>IT</v>
      </c>
      <c r="AC4" t="str">
        <v>South</v>
      </c>
      <c r="AD4" s="3" t="str">
        <v>7/21/2021</v>
      </c>
      <c r="AE4" s="3">
        <v>46027</v>
      </c>
      <c r="AF4" s="3" t="str">
        <v>5/30/2026</v>
      </c>
      <c r="AG4">
        <v>70000</v>
      </c>
      <c r="AH4">
        <v>81000</v>
      </c>
      <c r="AI4">
        <v>30</v>
      </c>
      <c r="AJ4">
        <v>73</v>
      </c>
      <c r="AK4">
        <v>60</v>
      </c>
      <c r="AL4">
        <v>65</v>
      </c>
      <c r="AM4">
        <v>5</v>
      </c>
      <c r="AN4">
        <v>98000</v>
      </c>
      <c r="AO4">
        <v>18000</v>
      </c>
      <c r="AP4">
        <v>1</v>
      </c>
      <c r="AQ4" t="str">
        <v>Completed</v>
      </c>
      <c r="AR4" t="str">
        <v>Yes</v>
      </c>
      <c r="AS4" t="str">
        <v>Top Performer</v>
      </c>
    </row>
    <row r="5" spans="1:45" x14ac:dyDescent="0.2">
      <c r="A5" t="s">
        <v>87</v>
      </c>
      <c r="B5" t="s">
        <v>88</v>
      </c>
      <c r="C5" t="s">
        <v>89</v>
      </c>
      <c r="D5" t="s">
        <v>90</v>
      </c>
      <c r="E5" s="16">
        <v>45598</v>
      </c>
      <c r="F5" s="5" t="s">
        <v>91</v>
      </c>
      <c r="G5" s="16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  <c r="Z5" t="str">
        <v>E004</v>
      </c>
      <c r="AA5" t="str">
        <v>Priya Nair</v>
      </c>
      <c r="AB5" t="str">
        <v>Finance</v>
      </c>
      <c r="AC5" t="str">
        <v>East</v>
      </c>
      <c r="AD5" s="3">
        <v>45598</v>
      </c>
      <c r="AE5" s="3" t="str">
        <v>4/20/2026</v>
      </c>
      <c r="AF5" s="3">
        <v>46028</v>
      </c>
      <c r="AG5">
        <v>45000</v>
      </c>
      <c r="AH5">
        <v>43000</v>
      </c>
      <c r="AI5">
        <v>-2</v>
      </c>
      <c r="AJ5">
        <v>76</v>
      </c>
      <c r="AK5">
        <v>25</v>
      </c>
      <c r="AL5">
        <v>45</v>
      </c>
      <c r="AM5">
        <v>2</v>
      </c>
      <c r="AN5">
        <v>67000</v>
      </c>
      <c r="AO5">
        <v>2000</v>
      </c>
      <c r="AP5">
        <v>8</v>
      </c>
      <c r="AQ5" t="str">
        <v>Delayed</v>
      </c>
      <c r="AR5" t="str">
        <v>Yes</v>
      </c>
      <c r="AS5" t="str">
        <v>Consistent</v>
      </c>
    </row>
    <row r="6" spans="1:45" x14ac:dyDescent="0.2">
      <c r="A6" t="s">
        <v>94</v>
      </c>
      <c r="B6" t="s">
        <v>95</v>
      </c>
      <c r="C6" t="s">
        <v>66</v>
      </c>
      <c r="D6" t="s">
        <v>67</v>
      </c>
      <c r="E6" s="16">
        <v>43842</v>
      </c>
      <c r="F6" s="5" t="s">
        <v>96</v>
      </c>
      <c r="G6" s="5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  <c r="X6" t="s">
        <v>244</v>
      </c>
      <c r="Z6" t="str">
        <v>E005</v>
      </c>
      <c r="AA6" t="str">
        <v>Aditya Rao</v>
      </c>
      <c r="AB6" t="str">
        <v>Sales</v>
      </c>
      <c r="AC6" t="str">
        <v>West</v>
      </c>
      <c r="AD6" s="3">
        <v>43842</v>
      </c>
      <c r="AE6" s="3" t="str">
        <v>5/27/2026</v>
      </c>
      <c r="AF6" s="3" t="str">
        <v>5/29/2026</v>
      </c>
      <c r="AG6">
        <v>55000</v>
      </c>
      <c r="AH6">
        <v>55000</v>
      </c>
      <c r="AI6">
        <v>15</v>
      </c>
      <c r="AJ6">
        <v>100</v>
      </c>
      <c r="AK6">
        <v>50</v>
      </c>
      <c r="AL6">
        <v>50</v>
      </c>
      <c r="AM6">
        <v>4</v>
      </c>
      <c r="AN6">
        <v>82000</v>
      </c>
      <c r="AO6">
        <v>10000</v>
      </c>
      <c r="AP6">
        <v>0</v>
      </c>
      <c r="AQ6" t="str">
        <v>Completed</v>
      </c>
      <c r="AR6" t="str">
        <v>Yes</v>
      </c>
      <c r="AS6" t="str">
        <v>Duplicate ID</v>
      </c>
    </row>
    <row r="7" spans="1:45" x14ac:dyDescent="0.2">
      <c r="A7" t="s">
        <v>99</v>
      </c>
      <c r="B7" t="s">
        <v>100</v>
      </c>
      <c r="C7" t="s">
        <v>101</v>
      </c>
      <c r="D7" t="s">
        <v>75</v>
      </c>
      <c r="E7" s="5" t="s">
        <v>102</v>
      </c>
      <c r="F7" s="5" t="s">
        <v>167</v>
      </c>
      <c r="G7" s="5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  <c r="Z7" t="str">
        <v>E006</v>
      </c>
      <c r="AA7" t="str">
        <v>Kavya Patel</v>
      </c>
      <c r="AB7" t="str">
        <v>Marketing</v>
      </c>
      <c r="AC7" t="str">
        <v>North</v>
      </c>
      <c r="AD7" s="3" t="str">
        <v>9/14/2023</v>
      </c>
      <c r="AE7" s="3" t="str">
        <v>5/23/2026</v>
      </c>
      <c r="AF7" s="3" t="str">
        <v>6/15/2026</v>
      </c>
      <c r="AG7">
        <v>40000</v>
      </c>
      <c r="AH7">
        <v>35000</v>
      </c>
      <c r="AI7">
        <v>-10</v>
      </c>
      <c r="AJ7">
        <v>82</v>
      </c>
      <c r="AK7">
        <v>28</v>
      </c>
      <c r="AL7">
        <v>50</v>
      </c>
      <c r="AM7">
        <v>2</v>
      </c>
      <c r="AN7">
        <v>61000</v>
      </c>
      <c r="AO7">
        <v>1000</v>
      </c>
      <c r="AP7">
        <v>7</v>
      </c>
      <c r="AQ7" t="str">
        <v>Pending</v>
      </c>
      <c r="AR7" t="str">
        <v>No</v>
      </c>
      <c r="AS7" t="str">
        <v>Follow Up</v>
      </c>
    </row>
    <row r="8" spans="1:45" x14ac:dyDescent="0.2">
      <c r="A8" t="s">
        <v>105</v>
      </c>
      <c r="B8" t="s">
        <v>106</v>
      </c>
      <c r="C8" t="s">
        <v>82</v>
      </c>
      <c r="D8" t="s">
        <v>83</v>
      </c>
      <c r="E8" s="5" t="s">
        <v>107</v>
      </c>
      <c r="F8" s="5" t="s">
        <v>108</v>
      </c>
      <c r="G8" s="16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  <c r="X8" t="s">
        <v>44</v>
      </c>
      <c r="Z8" t="str">
        <v>E007</v>
      </c>
      <c r="AA8" t="str">
        <v>Vikram Singh</v>
      </c>
      <c r="AB8" t="str">
        <v>IT</v>
      </c>
      <c r="AC8" t="str">
        <v>South</v>
      </c>
      <c r="AD8" s="3" t="str">
        <v>3/18/2022</v>
      </c>
      <c r="AE8" s="3" t="str">
        <v>5/26/2026</v>
      </c>
      <c r="AF8" s="3">
        <v>46148</v>
      </c>
      <c r="AG8">
        <v>72000</v>
      </c>
      <c r="AH8">
        <v>92000</v>
      </c>
      <c r="AI8">
        <v>35</v>
      </c>
      <c r="AJ8">
        <v>96</v>
      </c>
      <c r="AK8">
        <v>66</v>
      </c>
      <c r="AL8">
        <v>70</v>
      </c>
      <c r="AM8">
        <v>5</v>
      </c>
      <c r="AN8">
        <v>110000</v>
      </c>
      <c r="AO8">
        <v>25000</v>
      </c>
      <c r="AP8">
        <v>1</v>
      </c>
      <c r="AQ8" t="str">
        <v>Completed</v>
      </c>
      <c r="AR8" t="str">
        <v>Yes</v>
      </c>
      <c r="AS8" t="str">
        <v>Outstanding</v>
      </c>
    </row>
    <row r="9" spans="1:45" x14ac:dyDescent="0.2">
      <c r="A9" t="s">
        <v>110</v>
      </c>
      <c r="B9" t="s">
        <v>111</v>
      </c>
      <c r="C9" t="s">
        <v>89</v>
      </c>
      <c r="D9" t="s">
        <v>90</v>
      </c>
      <c r="E9" s="5" t="s">
        <v>112</v>
      </c>
      <c r="F9" s="16">
        <v>46331</v>
      </c>
      <c r="G9" s="5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  <c r="Z9" t="str">
        <v>E008</v>
      </c>
      <c r="AA9" t="str">
        <v>Ananya Das</v>
      </c>
      <c r="AB9" t="str">
        <v>Finance</v>
      </c>
      <c r="AC9" t="str">
        <v>East</v>
      </c>
      <c r="AD9" s="3" t="str">
        <v>8/25/2021</v>
      </c>
      <c r="AE9" s="3">
        <v>46331</v>
      </c>
      <c r="AF9" s="3" t="str">
        <v>5/27/2026</v>
      </c>
      <c r="AG9">
        <v>38000</v>
      </c>
      <c r="AH9">
        <v>22000</v>
      </c>
      <c r="AI9">
        <v>-18</v>
      </c>
      <c r="AJ9">
        <v>68</v>
      </c>
      <c r="AK9">
        <v>15</v>
      </c>
      <c r="AL9">
        <v>40</v>
      </c>
      <c r="AM9">
        <v>1</v>
      </c>
      <c r="AN9">
        <v>54000</v>
      </c>
      <c r="AO9">
        <v>0</v>
      </c>
      <c r="AP9">
        <v>12</v>
      </c>
      <c r="AQ9" t="str">
        <v>Delayed</v>
      </c>
      <c r="AR9" t="str">
        <v>No</v>
      </c>
      <c r="AS9" t="str">
        <v>Critical</v>
      </c>
    </row>
    <row r="10" spans="1:45" x14ac:dyDescent="0.2">
      <c r="A10" t="s">
        <v>114</v>
      </c>
      <c r="B10" t="s">
        <v>115</v>
      </c>
      <c r="C10" t="s">
        <v>74</v>
      </c>
      <c r="D10" t="s">
        <v>75</v>
      </c>
      <c r="E10" s="16">
        <v>45536</v>
      </c>
      <c r="F10" s="5" t="s">
        <v>168</v>
      </c>
      <c r="G10" s="16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  <c r="Z10" t="str">
        <v>E009</v>
      </c>
      <c r="AA10" t="str">
        <v>Rahul Joshi</v>
      </c>
      <c r="AB10" t="str">
        <v>HR</v>
      </c>
      <c r="AC10" t="str">
        <v>North</v>
      </c>
      <c r="AD10" s="3">
        <v>45536</v>
      </c>
      <c r="AE10" s="3" t="str">
        <v>5/19/2026</v>
      </c>
      <c r="AF10" s="3">
        <v>46362</v>
      </c>
      <c r="AG10">
        <v>31000</v>
      </c>
      <c r="AH10">
        <v>30000</v>
      </c>
      <c r="AI10">
        <v>4</v>
      </c>
      <c r="AJ10">
        <v>91</v>
      </c>
      <c r="AK10">
        <v>38</v>
      </c>
      <c r="AL10">
        <v>42</v>
      </c>
      <c r="AM10">
        <v>4</v>
      </c>
      <c r="AN10">
        <v>60000</v>
      </c>
      <c r="AO10">
        <v>3500</v>
      </c>
      <c r="AP10">
        <v>3</v>
      </c>
      <c r="AQ10" t="str">
        <v>Completed</v>
      </c>
      <c r="AR10" t="str">
        <v>Yes</v>
      </c>
      <c r="AS10" t="str">
        <v>Good</v>
      </c>
    </row>
    <row r="11" spans="1:45" x14ac:dyDescent="0.2">
      <c r="A11" t="s">
        <v>117</v>
      </c>
      <c r="B11" t="s">
        <v>118</v>
      </c>
      <c r="C11" t="s">
        <v>101</v>
      </c>
      <c r="D11" t="s">
        <v>67</v>
      </c>
      <c r="E11" s="5" t="s">
        <v>119</v>
      </c>
      <c r="F11" s="16">
        <v>46086</v>
      </c>
      <c r="G11" s="5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  <c r="Z11" t="str">
        <v>E010</v>
      </c>
      <c r="AA11" t="str">
        <v>Simran Kaur</v>
      </c>
      <c r="AB11" t="str">
        <v>Marketing</v>
      </c>
      <c r="AC11" t="str">
        <v>West</v>
      </c>
      <c r="AD11" s="3" t="str">
        <v>6/30/2022</v>
      </c>
      <c r="AE11" s="3">
        <v>46086</v>
      </c>
      <c r="AF11" s="3" t="str">
        <v>5/31/2026</v>
      </c>
      <c r="AG11">
        <v>48000</v>
      </c>
      <c r="AH11">
        <v>51000</v>
      </c>
      <c r="AI11">
        <v>12</v>
      </c>
      <c r="AJ11">
        <v>94</v>
      </c>
      <c r="AK11">
        <v>41</v>
      </c>
      <c r="AL11">
        <v>45</v>
      </c>
      <c r="AM11">
        <v>4</v>
      </c>
      <c r="AN11">
        <v>72000</v>
      </c>
      <c r="AO11">
        <v>8500</v>
      </c>
      <c r="AP11">
        <v>2</v>
      </c>
      <c r="AQ11" t="str">
        <v>Completed</v>
      </c>
      <c r="AR11" t="str">
        <v>Yes</v>
      </c>
      <c r="AS11" t="str">
        <v>Consistent</v>
      </c>
    </row>
    <row r="12" spans="1:45" x14ac:dyDescent="0.2">
      <c r="A12" t="s">
        <v>121</v>
      </c>
      <c r="B12" t="s">
        <v>122</v>
      </c>
      <c r="C12" t="s">
        <v>66</v>
      </c>
      <c r="D12" t="s">
        <v>83</v>
      </c>
      <c r="E12" s="16">
        <v>45264</v>
      </c>
      <c r="F12" s="16">
        <v>46239</v>
      </c>
      <c r="G12" s="16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  <c r="Z12" t="str">
        <v>E011</v>
      </c>
      <c r="AA12" t="str">
        <v>Arjun Verma</v>
      </c>
      <c r="AB12" t="str">
        <v>Sales</v>
      </c>
      <c r="AC12" t="str">
        <v>South</v>
      </c>
      <c r="AD12" s="3">
        <v>45264</v>
      </c>
      <c r="AE12" s="3">
        <v>46239</v>
      </c>
      <c r="AF12" s="3">
        <v>46087</v>
      </c>
      <c r="AG12">
        <v>53000</v>
      </c>
      <c r="AH12">
        <v>49000</v>
      </c>
      <c r="AI12">
        <v>-4</v>
      </c>
      <c r="AJ12">
        <v>73</v>
      </c>
      <c r="AK12">
        <v>20</v>
      </c>
      <c r="AL12">
        <v>35</v>
      </c>
      <c r="AM12">
        <v>2</v>
      </c>
      <c r="AN12">
        <v>69000</v>
      </c>
      <c r="AO12">
        <v>1500</v>
      </c>
      <c r="AP12">
        <v>10</v>
      </c>
      <c r="AQ12" t="str">
        <v>Pending</v>
      </c>
      <c r="AR12" t="str">
        <v>No</v>
      </c>
      <c r="AS12" t="str">
        <v>Low Attendance</v>
      </c>
    </row>
    <row r="13" spans="1:45" x14ac:dyDescent="0.2">
      <c r="A13" t="s">
        <v>124</v>
      </c>
      <c r="B13" t="s">
        <v>125</v>
      </c>
      <c r="C13" t="s">
        <v>82</v>
      </c>
      <c r="D13" t="s">
        <v>90</v>
      </c>
      <c r="E13" s="5" t="s">
        <v>126</v>
      </c>
      <c r="F13" s="5" t="s">
        <v>127</v>
      </c>
      <c r="G13" s="5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  <c r="Z13" t="str">
        <v>E012</v>
      </c>
      <c r="AA13" t="str">
        <v>Sneha Kulkarni</v>
      </c>
      <c r="AB13" t="str">
        <v>IT</v>
      </c>
      <c r="AC13" t="str">
        <v>East</v>
      </c>
      <c r="AD13" s="3" t="str">
        <v>10/19/2020</v>
      </c>
      <c r="AE13" s="3" t="str">
        <v>5/24/2026</v>
      </c>
      <c r="AF13" s="3" t="str">
        <v>6/20/2026</v>
      </c>
      <c r="AG13">
        <v>85000</v>
      </c>
      <c r="AH13">
        <v>99000</v>
      </c>
      <c r="AI13">
        <v>40</v>
      </c>
      <c r="AJ13">
        <v>99</v>
      </c>
      <c r="AK13">
        <v>75</v>
      </c>
      <c r="AL13">
        <v>80</v>
      </c>
      <c r="AM13">
        <v>5</v>
      </c>
      <c r="AN13">
        <v>125000</v>
      </c>
      <c r="AO13">
        <v>30000</v>
      </c>
      <c r="AP13">
        <v>0</v>
      </c>
      <c r="AQ13" t="str">
        <v>Completed</v>
      </c>
      <c r="AR13" t="str">
        <v>Yes</v>
      </c>
      <c r="AS13" t="str">
        <v>Best Employee</v>
      </c>
    </row>
    <row r="14" spans="1:45" x14ac:dyDescent="0.2">
      <c r="A14" t="s">
        <v>130</v>
      </c>
      <c r="B14" t="s">
        <v>131</v>
      </c>
      <c r="C14" t="s">
        <v>89</v>
      </c>
      <c r="D14" t="s">
        <v>75</v>
      </c>
      <c r="E14" s="5" t="s">
        <v>132</v>
      </c>
      <c r="F14" s="16">
        <v>46058</v>
      </c>
      <c r="G14" s="5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  <c r="Z14" t="str">
        <v>E013</v>
      </c>
      <c r="AA14" t="str">
        <v>Manish Gupta</v>
      </c>
      <c r="AB14" t="str">
        <v>Finance</v>
      </c>
      <c r="AC14" t="str">
        <v>North</v>
      </c>
      <c r="AD14" s="3" t="str">
        <v>5/16/2021</v>
      </c>
      <c r="AE14" s="3">
        <v>46058</v>
      </c>
      <c r="AF14" s="3" t="str">
        <v>5/26/2026</v>
      </c>
      <c r="AG14">
        <v>41000</v>
      </c>
      <c r="AH14">
        <v>39000</v>
      </c>
      <c r="AI14">
        <v>-3</v>
      </c>
      <c r="AJ14">
        <v>84</v>
      </c>
      <c r="AK14">
        <v>29</v>
      </c>
      <c r="AL14">
        <v>38</v>
      </c>
      <c r="AM14">
        <v>3</v>
      </c>
      <c r="AN14">
        <v>64000</v>
      </c>
      <c r="AO14">
        <v>2500</v>
      </c>
      <c r="AP14">
        <v>6</v>
      </c>
      <c r="AQ14" t="str">
        <v>Delayed</v>
      </c>
      <c r="AR14" t="str">
        <v>Yes</v>
      </c>
      <c r="AS14" t="str">
        <v>Average</v>
      </c>
    </row>
    <row r="15" spans="1:45" x14ac:dyDescent="0.2">
      <c r="A15" t="s">
        <v>134</v>
      </c>
      <c r="B15" t="s">
        <v>135</v>
      </c>
      <c r="C15" t="s">
        <v>74</v>
      </c>
      <c r="D15" t="s">
        <v>83</v>
      </c>
      <c r="E15" s="5" t="s">
        <v>136</v>
      </c>
      <c r="F15" s="5" t="s">
        <v>137</v>
      </c>
      <c r="G15" s="5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  <c r="Z15" t="str">
        <v>E014</v>
      </c>
      <c r="AA15" t="str">
        <v>Pooja Reddy</v>
      </c>
      <c r="AB15" t="str">
        <v>HR</v>
      </c>
      <c r="AC15" t="str">
        <v>South</v>
      </c>
      <c r="AD15" s="3" t="str">
        <v>9/27/2022</v>
      </c>
      <c r="AE15" s="3" t="str">
        <v>5/14/2026</v>
      </c>
      <c r="AF15" s="3" t="str">
        <v>6/18/2026</v>
      </c>
      <c r="AG15">
        <v>36000</v>
      </c>
      <c r="AH15">
        <v>47000</v>
      </c>
      <c r="AI15">
        <v>22</v>
      </c>
      <c r="AJ15">
        <v>96</v>
      </c>
      <c r="AK15">
        <v>44</v>
      </c>
      <c r="AL15">
        <v>48</v>
      </c>
      <c r="AM15">
        <v>5</v>
      </c>
      <c r="AN15">
        <v>71000</v>
      </c>
      <c r="AO15">
        <v>9500</v>
      </c>
      <c r="AP15">
        <v>1</v>
      </c>
      <c r="AQ15" t="str">
        <v>Completed</v>
      </c>
      <c r="AR15" t="str">
        <v>Yes</v>
      </c>
      <c r="AS15" t="str">
        <v>Excellent</v>
      </c>
    </row>
    <row r="16" spans="1:45" x14ac:dyDescent="0.2">
      <c r="A16" t="s">
        <v>139</v>
      </c>
      <c r="B16" t="s">
        <v>140</v>
      </c>
      <c r="C16" t="s">
        <v>101</v>
      </c>
      <c r="D16" t="s">
        <v>67</v>
      </c>
      <c r="E16" s="16">
        <v>44997</v>
      </c>
      <c r="F16" s="5" t="s">
        <v>141</v>
      </c>
      <c r="G16" s="5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  <c r="Z16" t="str">
        <v>E015</v>
      </c>
      <c r="AA16" t="str">
        <v>Karan Malhotra</v>
      </c>
      <c r="AB16" t="str">
        <v>Marketing</v>
      </c>
      <c r="AC16" t="str">
        <v>West</v>
      </c>
      <c r="AD16" s="3">
        <v>44997</v>
      </c>
      <c r="AE16" s="3" t="str">
        <v>4/29/2026</v>
      </c>
      <c r="AF16" s="3" t="str">
        <v>5/30/2026</v>
      </c>
      <c r="AG16">
        <v>50000</v>
      </c>
      <c r="AH16">
        <v>32000</v>
      </c>
      <c r="AI16">
        <v>-15</v>
      </c>
      <c r="AJ16">
        <v>65</v>
      </c>
      <c r="AK16">
        <v>18</v>
      </c>
      <c r="AL16">
        <v>50</v>
      </c>
      <c r="AM16">
        <v>1</v>
      </c>
      <c r="AN16">
        <v>59000</v>
      </c>
      <c r="AO16">
        <v>500</v>
      </c>
      <c r="AP16">
        <v>15</v>
      </c>
      <c r="AQ16" t="str">
        <v>Pending</v>
      </c>
      <c r="AR16" t="str">
        <v>No</v>
      </c>
      <c r="AS16" t="str">
        <v>Urgent Review</v>
      </c>
    </row>
    <row r="17" spans="1:45" x14ac:dyDescent="0.2">
      <c r="A17" t="s">
        <v>143</v>
      </c>
      <c r="B17" t="s">
        <v>144</v>
      </c>
      <c r="C17" t="s">
        <v>82</v>
      </c>
      <c r="D17" t="s">
        <v>90</v>
      </c>
      <c r="E17" s="16">
        <v>44511</v>
      </c>
      <c r="F17" s="5" t="s">
        <v>96</v>
      </c>
      <c r="G17" s="16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  <c r="Z17" t="str">
        <v>E016</v>
      </c>
      <c r="AA17" t="str">
        <v>Isha Banerjee</v>
      </c>
      <c r="AB17" t="str">
        <v>IT</v>
      </c>
      <c r="AC17" t="str">
        <v>East</v>
      </c>
      <c r="AD17" s="3">
        <v>44511</v>
      </c>
      <c r="AE17" s="3" t="str">
        <v>5/27/2026</v>
      </c>
      <c r="AF17" s="3">
        <v>46240</v>
      </c>
      <c r="AG17">
        <v>78000</v>
      </c>
      <c r="AH17">
        <v>80000</v>
      </c>
      <c r="AI17">
        <v>18</v>
      </c>
      <c r="AJ17">
        <v>93</v>
      </c>
      <c r="AK17">
        <v>58</v>
      </c>
      <c r="AL17">
        <v>60</v>
      </c>
      <c r="AM17">
        <v>4</v>
      </c>
      <c r="AN17">
        <v>102000</v>
      </c>
      <c r="AO17">
        <v>14000</v>
      </c>
      <c r="AP17">
        <v>2</v>
      </c>
      <c r="AQ17" t="str">
        <v>Completed</v>
      </c>
      <c r="AR17" t="str">
        <v>Yes</v>
      </c>
      <c r="AS17" t="str">
        <v>Very Good</v>
      </c>
    </row>
    <row r="18" spans="1:45" x14ac:dyDescent="0.2">
      <c r="A18" t="s">
        <v>146</v>
      </c>
      <c r="B18" t="s">
        <v>147</v>
      </c>
      <c r="C18" t="s">
        <v>66</v>
      </c>
      <c r="D18" t="s">
        <v>75</v>
      </c>
      <c r="E18" s="16">
        <v>44050</v>
      </c>
      <c r="F18" s="5" t="s">
        <v>148</v>
      </c>
      <c r="G18" s="16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  <c r="Z18" t="str">
        <v>E017</v>
      </c>
      <c r="AA18" t="str">
        <v>Dev Khanna</v>
      </c>
      <c r="AB18" t="str">
        <v>Sales</v>
      </c>
      <c r="AC18" t="str">
        <v>North</v>
      </c>
      <c r="AD18" s="3">
        <v>44050</v>
      </c>
      <c r="AE18" s="3" t="str">
        <v>5/15/2026</v>
      </c>
      <c r="AF18" s="3">
        <v>46059</v>
      </c>
      <c r="AG18">
        <v>61000</v>
      </c>
      <c r="AH18">
        <v>61000</v>
      </c>
      <c r="AI18">
        <v>10</v>
      </c>
      <c r="AJ18">
        <v>89</v>
      </c>
      <c r="AK18">
        <v>40</v>
      </c>
      <c r="AL18">
        <v>45</v>
      </c>
      <c r="AM18">
        <v>4</v>
      </c>
      <c r="AN18">
        <v>86000</v>
      </c>
      <c r="AO18">
        <v>11000</v>
      </c>
      <c r="AP18">
        <v>4</v>
      </c>
      <c r="AQ18" t="str">
        <v>Completed</v>
      </c>
      <c r="AR18" t="str">
        <v>Yes</v>
      </c>
      <c r="AS18" t="str">
        <v>Target Met</v>
      </c>
    </row>
    <row r="19" spans="1:45" x14ac:dyDescent="0.2">
      <c r="A19" t="s">
        <v>150</v>
      </c>
      <c r="B19" t="s">
        <v>151</v>
      </c>
      <c r="C19" t="s">
        <v>89</v>
      </c>
      <c r="D19" t="s">
        <v>83</v>
      </c>
      <c r="E19" s="5" t="s">
        <v>152</v>
      </c>
      <c r="F19" s="16">
        <v>46147</v>
      </c>
      <c r="G19" s="5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  <c r="Z19" t="str">
        <v>E018</v>
      </c>
      <c r="AA19" t="str">
        <v>Meera Pillai</v>
      </c>
      <c r="AB19" t="str">
        <v>Finance</v>
      </c>
      <c r="AC19" t="str">
        <v>South</v>
      </c>
      <c r="AD19" s="3" t="str">
        <v>3/20/2024</v>
      </c>
      <c r="AE19" s="3">
        <v>46147</v>
      </c>
      <c r="AF19" s="3" t="str">
        <v>5/29/2026</v>
      </c>
      <c r="AG19">
        <v>39000</v>
      </c>
      <c r="AH19">
        <v>18000</v>
      </c>
      <c r="AI19">
        <v>-25</v>
      </c>
      <c r="AJ19">
        <v>58</v>
      </c>
      <c r="AK19">
        <v>10</v>
      </c>
      <c r="AL19">
        <v>35</v>
      </c>
      <c r="AM19">
        <v>1</v>
      </c>
      <c r="AN19">
        <v>52000</v>
      </c>
      <c r="AO19">
        <v>0</v>
      </c>
      <c r="AP19">
        <v>18</v>
      </c>
      <c r="AQ19" t="str">
        <v>Delayed</v>
      </c>
      <c r="AR19" t="str">
        <v>No</v>
      </c>
      <c r="AS19" t="str">
        <v>very Good</v>
      </c>
    </row>
    <row r="20" spans="1:45" x14ac:dyDescent="0.2">
      <c r="A20" t="s">
        <v>154</v>
      </c>
      <c r="B20" t="s">
        <v>155</v>
      </c>
      <c r="C20" t="s">
        <v>74</v>
      </c>
      <c r="D20" t="s">
        <v>67</v>
      </c>
      <c r="E20" s="5" t="s">
        <v>156</v>
      </c>
      <c r="F20" s="5" t="s">
        <v>157</v>
      </c>
      <c r="G20" s="5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  <c r="Z20" t="str">
        <v>E019</v>
      </c>
      <c r="AA20" t="str">
        <v>Yash Thakur</v>
      </c>
      <c r="AB20" t="str">
        <v>HR</v>
      </c>
      <c r="AC20" t="str">
        <v>West</v>
      </c>
      <c r="AD20" s="3" t="str">
        <v>2/17/2023</v>
      </c>
      <c r="AE20" s="3" t="str">
        <v>5/21/2026</v>
      </c>
      <c r="AF20" s="3" t="str">
        <v>6/14/2026</v>
      </c>
      <c r="AG20">
        <v>34000</v>
      </c>
      <c r="AH20">
        <v>36000</v>
      </c>
      <c r="AI20">
        <v>8</v>
      </c>
      <c r="AJ20">
        <v>92</v>
      </c>
      <c r="AK20">
        <v>39</v>
      </c>
      <c r="AL20">
        <v>40</v>
      </c>
      <c r="AM20">
        <v>4</v>
      </c>
      <c r="AN20">
        <v>63000</v>
      </c>
      <c r="AO20">
        <v>4200</v>
      </c>
      <c r="AP20">
        <v>2</v>
      </c>
      <c r="AQ20" t="str">
        <v>Completed</v>
      </c>
      <c r="AR20" t="str">
        <v>Yes</v>
      </c>
      <c r="AS20" t="str">
        <v>Stable</v>
      </c>
    </row>
    <row r="21" spans="1:45" x14ac:dyDescent="0.2">
      <c r="A21" t="s">
        <v>160</v>
      </c>
      <c r="B21" t="s">
        <v>161</v>
      </c>
      <c r="C21" t="s">
        <v>101</v>
      </c>
      <c r="D21" t="s">
        <v>90</v>
      </c>
      <c r="E21" s="5" t="s">
        <v>162</v>
      </c>
      <c r="F21" s="16">
        <v>46361</v>
      </c>
      <c r="G21" s="5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  <c r="Z21" t="str">
        <v>E020</v>
      </c>
      <c r="AA21" t="str">
        <v>Ritika Sen</v>
      </c>
      <c r="AB21" t="str">
        <v>Marketing</v>
      </c>
      <c r="AC21" t="str">
        <v>East</v>
      </c>
      <c r="AD21" s="3" t="str">
        <v>1/26/2022</v>
      </c>
      <c r="AE21" s="3">
        <v>46361</v>
      </c>
      <c r="AF21" s="3" t="str">
        <v>5/27/2026</v>
      </c>
      <c r="AG21">
        <v>46000</v>
      </c>
      <c r="AH21">
        <v>60000</v>
      </c>
      <c r="AI21">
        <v>28</v>
      </c>
      <c r="AJ21">
        <v>97</v>
      </c>
      <c r="AK21">
        <v>52</v>
      </c>
      <c r="AL21">
        <v>55</v>
      </c>
      <c r="AM21">
        <v>5</v>
      </c>
      <c r="AN21">
        <v>88000</v>
      </c>
      <c r="AO21">
        <v>16000</v>
      </c>
      <c r="AP21">
        <v>1</v>
      </c>
      <c r="AQ21" t="str">
        <v>Completed</v>
      </c>
      <c r="AR21" t="str">
        <v>Yes</v>
      </c>
      <c r="AS21" t="str">
        <v>Star Performer</v>
      </c>
    </row>
    <row r="25" spans="1:45" x14ac:dyDescent="0.2">
      <c r="A25" t="s">
        <v>169</v>
      </c>
      <c r="B25" t="s">
        <v>170</v>
      </c>
      <c r="C25" t="s">
        <v>171</v>
      </c>
      <c r="D25" t="s">
        <v>172</v>
      </c>
      <c r="E25" s="5" t="s">
        <v>173</v>
      </c>
      <c r="F25" s="5" t="s">
        <v>101</v>
      </c>
      <c r="G25" s="5" t="s">
        <v>174</v>
      </c>
      <c r="H25" t="s">
        <v>175</v>
      </c>
      <c r="I25" t="s">
        <v>176</v>
      </c>
      <c r="J25" t="s">
        <v>32</v>
      </c>
      <c r="K25" t="s">
        <v>177</v>
      </c>
      <c r="L25" t="s">
        <v>178</v>
      </c>
      <c r="M25" t="s">
        <v>179</v>
      </c>
      <c r="N25" t="s">
        <v>180</v>
      </c>
    </row>
    <row r="26" spans="1:45" x14ac:dyDescent="0.2">
      <c r="A26" t="s">
        <v>235</v>
      </c>
      <c r="B26" t="s">
        <v>205</v>
      </c>
      <c r="C26">
        <v>11</v>
      </c>
      <c r="D26">
        <v>33</v>
      </c>
      <c r="E26">
        <v>54</v>
      </c>
      <c r="F26">
        <v>53</v>
      </c>
      <c r="G26">
        <v>16</v>
      </c>
      <c r="H26">
        <f t="shared" ref="H26:H55" si="0">SUM(C26:G26)</f>
        <v>167</v>
      </c>
      <c r="I26">
        <f t="shared" ref="I26:I55" si="1">H26/500*100</f>
        <v>33.4</v>
      </c>
      <c r="J26" t="str">
        <f t="shared" ref="J26:J55" si="2">IF(AND(C26&gt;=35,D26&gt;=35,E26&gt;=35,F26&gt;=35,G26&gt;=35),"Pass","Fail")</f>
        <v>Fail</v>
      </c>
      <c r="K26" t="e" cm="1">
        <f t="array" ref="K26">_xlfn.IFS(I26&gt;=75,"A+",I26&gt;=60,"B",I26&gt;=50,"C",I26&gt;=35,"D",,"F")</f>
        <v>#N/A</v>
      </c>
      <c r="L26" t="str">
        <f t="shared" ref="L26:L55" si="3">IF(OR(AND(I26&gt;=75,J26="Pass"),I26&gt;=90),"ELIGIBLE","NOT ELIGIBLE")</f>
        <v>NOT ELIGIBLE</v>
      </c>
    </row>
    <row r="27" spans="1:45" x14ac:dyDescent="0.2">
      <c r="A27" t="s">
        <v>211</v>
      </c>
      <c r="B27" t="s">
        <v>182</v>
      </c>
      <c r="C27">
        <v>13</v>
      </c>
      <c r="D27">
        <v>69</v>
      </c>
      <c r="E27">
        <v>72</v>
      </c>
      <c r="F27">
        <v>55</v>
      </c>
      <c r="G27">
        <v>61</v>
      </c>
      <c r="H27">
        <f t="shared" si="0"/>
        <v>270</v>
      </c>
      <c r="I27">
        <f t="shared" si="1"/>
        <v>54</v>
      </c>
      <c r="J27" t="str">
        <f t="shared" si="2"/>
        <v>Fail</v>
      </c>
      <c r="K27" t="str" cm="1">
        <f t="array" ref="K27">_xlfn.IFS(I27&gt;=75,"A+",I27&gt;=60,"B",I27&gt;=50,"C",I27&gt;=35,"D",,"F")</f>
        <v>C</v>
      </c>
      <c r="L27" t="str">
        <f t="shared" si="3"/>
        <v>NOT ELIGIBLE</v>
      </c>
    </row>
    <row r="28" spans="1:45" x14ac:dyDescent="0.2">
      <c r="A28" t="s">
        <v>213</v>
      </c>
      <c r="B28" t="s">
        <v>184</v>
      </c>
      <c r="C28">
        <v>13</v>
      </c>
      <c r="D28">
        <v>96</v>
      </c>
      <c r="E28">
        <v>88</v>
      </c>
      <c r="F28">
        <v>60</v>
      </c>
      <c r="G28">
        <v>57</v>
      </c>
      <c r="H28">
        <f t="shared" si="0"/>
        <v>314</v>
      </c>
      <c r="I28">
        <f t="shared" si="1"/>
        <v>62.8</v>
      </c>
      <c r="J28" t="str">
        <f t="shared" si="2"/>
        <v>Fail</v>
      </c>
      <c r="K28" t="str" cm="1">
        <f t="array" ref="K28">_xlfn.IFS(I28&gt;=75,"A+",I28&gt;=60,"B",I28&gt;=50,"C",I28&gt;=35,"D",,"F")</f>
        <v>B</v>
      </c>
      <c r="L28" t="str">
        <f t="shared" si="3"/>
        <v>NOT ELIGIBLE</v>
      </c>
      <c r="O28" t="str" cm="1">
        <f t="array" ref="O28:Z57">_xlfn._xlws.SORT(A26:L55,9,-1)</f>
        <v>STU020</v>
      </c>
      <c r="P28" t="str">
        <v>Pranav More</v>
      </c>
      <c r="Q28">
        <v>30</v>
      </c>
      <c r="R28">
        <v>99</v>
      </c>
      <c r="S28">
        <v>100</v>
      </c>
      <c r="T28">
        <v>100</v>
      </c>
      <c r="U28">
        <v>100</v>
      </c>
      <c r="V28">
        <v>429</v>
      </c>
      <c r="W28">
        <v>85.8</v>
      </c>
      <c r="X28" t="str">
        <v>Fail</v>
      </c>
      <c r="Y28" t="str">
        <v>A+</v>
      </c>
      <c r="Z28" t="str">
        <v>NOT ELIGIBLE</v>
      </c>
    </row>
    <row r="29" spans="1:45" x14ac:dyDescent="0.2">
      <c r="A29" t="s">
        <v>225</v>
      </c>
      <c r="B29" t="s">
        <v>196</v>
      </c>
      <c r="C29">
        <v>17</v>
      </c>
      <c r="D29">
        <v>10</v>
      </c>
      <c r="E29">
        <v>55</v>
      </c>
      <c r="F29">
        <v>38</v>
      </c>
      <c r="G29">
        <v>81</v>
      </c>
      <c r="H29">
        <f t="shared" si="0"/>
        <v>201</v>
      </c>
      <c r="I29">
        <f t="shared" si="1"/>
        <v>40.200000000000003</v>
      </c>
      <c r="J29" t="str">
        <f t="shared" si="2"/>
        <v>Fail</v>
      </c>
      <c r="K29" t="str" cm="1">
        <f t="array" ref="K29">_xlfn.IFS(I29&gt;=75,"A+",I29&gt;=60,"B",I29&gt;=50,"C",I29&gt;=35,"D",,"F")</f>
        <v>D</v>
      </c>
      <c r="L29" t="str">
        <f t="shared" si="3"/>
        <v>NOT ELIGIBLE</v>
      </c>
      <c r="O29" t="str">
        <v>STU023</v>
      </c>
      <c r="P29" t="str">
        <v>Sakshi Kulkarni</v>
      </c>
      <c r="Q29">
        <v>79</v>
      </c>
      <c r="R29">
        <v>94</v>
      </c>
      <c r="S29">
        <v>97</v>
      </c>
      <c r="T29">
        <v>75</v>
      </c>
      <c r="U29">
        <v>45</v>
      </c>
      <c r="V29">
        <v>390</v>
      </c>
      <c r="W29">
        <v>78</v>
      </c>
      <c r="X29" t="str">
        <v>Pass</v>
      </c>
      <c r="Y29" t="str">
        <v>A+</v>
      </c>
      <c r="Z29" t="str">
        <v>ELIGIBLE</v>
      </c>
    </row>
    <row r="30" spans="1:45" x14ac:dyDescent="0.2">
      <c r="A30" t="s">
        <v>218</v>
      </c>
      <c r="B30" t="s">
        <v>189</v>
      </c>
      <c r="C30">
        <v>20</v>
      </c>
      <c r="D30">
        <v>51</v>
      </c>
      <c r="E30">
        <v>73</v>
      </c>
      <c r="F30">
        <v>45</v>
      </c>
      <c r="G30">
        <v>96</v>
      </c>
      <c r="H30">
        <f t="shared" si="0"/>
        <v>285</v>
      </c>
      <c r="I30">
        <f t="shared" si="1"/>
        <v>56.999999999999993</v>
      </c>
      <c r="J30" t="str">
        <f t="shared" si="2"/>
        <v>Fail</v>
      </c>
      <c r="K30" t="str" cm="1">
        <f t="array" ref="K30">_xlfn.IFS(I30&gt;=75,"A+",I30&gt;=60,"B",I30&gt;=50,"C",I30&gt;=35,"D",,"F")</f>
        <v>C</v>
      </c>
      <c r="L30" t="str">
        <f t="shared" si="3"/>
        <v>NOT ELIGIBLE</v>
      </c>
      <c r="O30" t="str">
        <v>STU012</v>
      </c>
      <c r="P30" t="str">
        <v>Kavya Patil</v>
      </c>
      <c r="Q30">
        <v>79</v>
      </c>
      <c r="R30">
        <v>67</v>
      </c>
      <c r="S30">
        <v>82</v>
      </c>
      <c r="T30">
        <v>90</v>
      </c>
      <c r="U30">
        <v>30</v>
      </c>
      <c r="V30">
        <v>348</v>
      </c>
      <c r="W30">
        <v>69.599999999999994</v>
      </c>
      <c r="X30" t="str">
        <v>Fail</v>
      </c>
      <c r="Y30" t="str">
        <v>B</v>
      </c>
      <c r="Z30" t="str">
        <v>NOT ELIGIBLE</v>
      </c>
    </row>
    <row r="31" spans="1:45" x14ac:dyDescent="0.2">
      <c r="A31" t="s">
        <v>223</v>
      </c>
      <c r="B31" t="s">
        <v>194</v>
      </c>
      <c r="C31">
        <v>24</v>
      </c>
      <c r="D31">
        <v>42</v>
      </c>
      <c r="E31">
        <v>81</v>
      </c>
      <c r="F31">
        <v>16</v>
      </c>
      <c r="G31">
        <v>92</v>
      </c>
      <c r="H31">
        <f t="shared" si="0"/>
        <v>255</v>
      </c>
      <c r="I31">
        <f t="shared" si="1"/>
        <v>51</v>
      </c>
      <c r="J31" t="str">
        <f t="shared" si="2"/>
        <v>Fail</v>
      </c>
      <c r="K31" t="str" cm="1">
        <f t="array" ref="K31">_xlfn.IFS(I31&gt;=75,"A+",I31&gt;=60,"B",I31&gt;=50,"C",I31&gt;=35,"D",,"F")</f>
        <v>C</v>
      </c>
      <c r="L31" t="str">
        <f t="shared" si="3"/>
        <v>NOT ELIGIBLE</v>
      </c>
      <c r="O31" t="str">
        <v>STU029</v>
      </c>
      <c r="P31" t="str">
        <v>Vedant Chavan</v>
      </c>
      <c r="Q31">
        <v>72</v>
      </c>
      <c r="R31">
        <v>77</v>
      </c>
      <c r="S31">
        <v>59</v>
      </c>
      <c r="T31">
        <v>71</v>
      </c>
      <c r="U31">
        <v>65</v>
      </c>
      <c r="V31">
        <v>344</v>
      </c>
      <c r="W31">
        <v>68.8</v>
      </c>
      <c r="X31" t="str">
        <v>Pass</v>
      </c>
      <c r="Y31" t="str">
        <v>B</v>
      </c>
      <c r="Z31" t="str">
        <v>NOT ELIGIBLE</v>
      </c>
    </row>
    <row r="32" spans="1:45" x14ac:dyDescent="0.2">
      <c r="A32" t="s">
        <v>236</v>
      </c>
      <c r="B32" t="s">
        <v>206</v>
      </c>
      <c r="C32">
        <v>29</v>
      </c>
      <c r="D32">
        <v>91</v>
      </c>
      <c r="E32">
        <v>16</v>
      </c>
      <c r="F32">
        <v>93</v>
      </c>
      <c r="G32">
        <v>46</v>
      </c>
      <c r="H32">
        <f t="shared" si="0"/>
        <v>275</v>
      </c>
      <c r="I32">
        <f t="shared" si="1"/>
        <v>55.000000000000007</v>
      </c>
      <c r="J32" t="str">
        <f t="shared" si="2"/>
        <v>Fail</v>
      </c>
      <c r="K32" t="str" cm="1">
        <f t="array" ref="K32">_xlfn.IFS(I32&gt;=75,"A+",I32&gt;=60,"B",I32&gt;=50,"C",I32&gt;=35,"D",,"F")</f>
        <v>C</v>
      </c>
      <c r="L32" t="str">
        <f t="shared" si="3"/>
        <v>NOT ELIGIBLE</v>
      </c>
      <c r="O32" t="str">
        <v>STU019</v>
      </c>
      <c r="P32" t="str">
        <v>Omkar Jadhav</v>
      </c>
      <c r="Q32">
        <v>40</v>
      </c>
      <c r="R32">
        <v>94</v>
      </c>
      <c r="S32">
        <v>78</v>
      </c>
      <c r="T32">
        <v>67</v>
      </c>
      <c r="U32">
        <v>63</v>
      </c>
      <c r="V32">
        <v>342</v>
      </c>
      <c r="W32">
        <v>68.400000000000006</v>
      </c>
      <c r="X32" t="str">
        <v>Pass</v>
      </c>
      <c r="Y32" t="str">
        <v>B</v>
      </c>
      <c r="Z32" t="str">
        <v>NOT ELIGIBLE</v>
      </c>
    </row>
    <row r="33" spans="1:26" x14ac:dyDescent="0.2">
      <c r="A33" t="s">
        <v>229</v>
      </c>
      <c r="B33" t="s">
        <v>199</v>
      </c>
      <c r="C33">
        <v>30</v>
      </c>
      <c r="D33">
        <v>99</v>
      </c>
      <c r="E33">
        <v>100</v>
      </c>
      <c r="F33">
        <v>100</v>
      </c>
      <c r="G33">
        <v>100</v>
      </c>
      <c r="H33">
        <f t="shared" si="0"/>
        <v>429</v>
      </c>
      <c r="I33">
        <f t="shared" si="1"/>
        <v>85.8</v>
      </c>
      <c r="J33" t="str">
        <f t="shared" si="2"/>
        <v>Fail</v>
      </c>
      <c r="K33" t="str" cm="1">
        <f t="array" ref="K33">_xlfn.IFS(I33&gt;=75,"A+",I33&gt;=60,"B",I33&gt;=50,"C",I33&gt;=35,"D",,"F")</f>
        <v>A+</v>
      </c>
      <c r="L33" t="str">
        <f t="shared" si="3"/>
        <v>NOT ELIGIBLE</v>
      </c>
      <c r="O33" t="str">
        <v>STU008</v>
      </c>
      <c r="P33" t="str">
        <v>Diya Shah</v>
      </c>
      <c r="Q33">
        <v>82</v>
      </c>
      <c r="R33">
        <v>92</v>
      </c>
      <c r="S33">
        <v>79</v>
      </c>
      <c r="T33">
        <v>54</v>
      </c>
      <c r="U33">
        <v>33</v>
      </c>
      <c r="V33">
        <v>340</v>
      </c>
      <c r="W33">
        <v>68</v>
      </c>
      <c r="X33" t="str">
        <v>Fail</v>
      </c>
      <c r="Y33" t="str">
        <v>B</v>
      </c>
      <c r="Z33" t="str">
        <v>NOT ELIGIBLE</v>
      </c>
    </row>
    <row r="34" spans="1:26" x14ac:dyDescent="0.2">
      <c r="A34" t="s">
        <v>214</v>
      </c>
      <c r="B34" t="s">
        <v>185</v>
      </c>
      <c r="C34">
        <v>33</v>
      </c>
      <c r="D34">
        <v>98</v>
      </c>
      <c r="E34">
        <v>14</v>
      </c>
      <c r="F34">
        <v>96</v>
      </c>
      <c r="G34">
        <v>56</v>
      </c>
      <c r="H34">
        <f t="shared" si="0"/>
        <v>297</v>
      </c>
      <c r="I34">
        <f t="shared" si="1"/>
        <v>59.4</v>
      </c>
      <c r="J34" t="str">
        <f t="shared" si="2"/>
        <v>Fail</v>
      </c>
      <c r="K34" t="str" cm="1">
        <f t="array" ref="K34">_xlfn.IFS(I34&gt;=75,"A+",I34&gt;=60,"B",I34&gt;=50,"C",I34&gt;=35,"D",,"F")</f>
        <v>C</v>
      </c>
      <c r="L34" t="str">
        <f t="shared" si="3"/>
        <v>NOT ELIGIBLE</v>
      </c>
      <c r="O34" t="str">
        <v>STU017</v>
      </c>
      <c r="P34" t="str">
        <v>Neha Sharma</v>
      </c>
      <c r="Q34">
        <v>71</v>
      </c>
      <c r="R34">
        <v>69</v>
      </c>
      <c r="S34">
        <v>51</v>
      </c>
      <c r="T34">
        <v>85</v>
      </c>
      <c r="U34">
        <v>52</v>
      </c>
      <c r="V34">
        <v>328</v>
      </c>
      <c r="W34">
        <v>65.600000000000009</v>
      </c>
      <c r="X34" t="str">
        <v>Pass</v>
      </c>
      <c r="Y34" t="str">
        <v>B</v>
      </c>
      <c r="Z34" t="str">
        <v>NOT ELIGIBLE</v>
      </c>
    </row>
    <row r="35" spans="1:26" x14ac:dyDescent="0.2">
      <c r="A35" t="s">
        <v>228</v>
      </c>
      <c r="B35" t="s">
        <v>198</v>
      </c>
      <c r="C35">
        <v>40</v>
      </c>
      <c r="D35">
        <v>94</v>
      </c>
      <c r="E35">
        <v>78</v>
      </c>
      <c r="F35">
        <v>67</v>
      </c>
      <c r="G35">
        <v>63</v>
      </c>
      <c r="H35">
        <f t="shared" si="0"/>
        <v>342</v>
      </c>
      <c r="I35">
        <f t="shared" si="1"/>
        <v>68.400000000000006</v>
      </c>
      <c r="J35" t="str">
        <f t="shared" si="2"/>
        <v>Pass</v>
      </c>
      <c r="K35" t="str" cm="1">
        <f t="array" ref="K35">_xlfn.IFS(I35&gt;=75,"A+",I35&gt;=60,"B",I35&gt;=50,"C",I35&gt;=35,"D",,"F")</f>
        <v>B</v>
      </c>
      <c r="L35" t="str">
        <f t="shared" si="3"/>
        <v>NOT ELIGIBLE</v>
      </c>
      <c r="O35" t="str">
        <v>STU011</v>
      </c>
      <c r="P35" t="str">
        <v>Kabir Chavan</v>
      </c>
      <c r="Q35">
        <v>64</v>
      </c>
      <c r="R35">
        <v>40</v>
      </c>
      <c r="S35">
        <v>71</v>
      </c>
      <c r="T35">
        <v>98</v>
      </c>
      <c r="U35">
        <v>45</v>
      </c>
      <c r="V35">
        <v>318</v>
      </c>
      <c r="W35">
        <v>63.6</v>
      </c>
      <c r="X35" t="str">
        <v>Pass</v>
      </c>
      <c r="Y35" t="str">
        <v>B</v>
      </c>
      <c r="Z35" t="str">
        <v>NOT ELIGIBLE</v>
      </c>
    </row>
    <row r="36" spans="1:26" x14ac:dyDescent="0.2">
      <c r="A36" t="s">
        <v>224</v>
      </c>
      <c r="B36" t="s">
        <v>195</v>
      </c>
      <c r="C36">
        <v>44</v>
      </c>
      <c r="D36">
        <v>86</v>
      </c>
      <c r="E36">
        <v>27</v>
      </c>
      <c r="F36">
        <v>48</v>
      </c>
      <c r="G36">
        <v>95</v>
      </c>
      <c r="H36">
        <f t="shared" si="0"/>
        <v>300</v>
      </c>
      <c r="I36">
        <f t="shared" si="1"/>
        <v>60</v>
      </c>
      <c r="J36" t="str">
        <f t="shared" si="2"/>
        <v>Fail</v>
      </c>
      <c r="K36" t="str" cm="1">
        <f t="array" ref="K36">_xlfn.IFS(I36&gt;=75,"A+",I36&gt;=60,"B",I36&gt;=50,"C",I36&gt;=35,"D",,"F")</f>
        <v>B</v>
      </c>
      <c r="L36" t="str">
        <f t="shared" si="3"/>
        <v>NOT ELIGIBLE</v>
      </c>
      <c r="O36" t="str">
        <v>STU004</v>
      </c>
      <c r="P36" t="str">
        <v>Ananya Deshmukh</v>
      </c>
      <c r="Q36">
        <v>13</v>
      </c>
      <c r="R36">
        <v>96</v>
      </c>
      <c r="S36">
        <v>88</v>
      </c>
      <c r="T36">
        <v>60</v>
      </c>
      <c r="U36">
        <v>57</v>
      </c>
      <c r="V36">
        <v>314</v>
      </c>
      <c r="W36">
        <v>62.8</v>
      </c>
      <c r="X36" t="str">
        <v>Fail</v>
      </c>
      <c r="Y36" t="str">
        <v>B</v>
      </c>
      <c r="Z36" t="str">
        <v>NOT ELIGIBLE</v>
      </c>
    </row>
    <row r="37" spans="1:26" x14ac:dyDescent="0.2">
      <c r="A37" t="s">
        <v>239</v>
      </c>
      <c r="B37" t="s">
        <v>209</v>
      </c>
      <c r="C37">
        <v>49</v>
      </c>
      <c r="D37">
        <v>15</v>
      </c>
      <c r="E37">
        <v>37</v>
      </c>
      <c r="F37">
        <v>72</v>
      </c>
      <c r="G37">
        <v>89</v>
      </c>
      <c r="H37">
        <f t="shared" si="0"/>
        <v>262</v>
      </c>
      <c r="I37">
        <f t="shared" si="1"/>
        <v>52.400000000000006</v>
      </c>
      <c r="J37" t="str">
        <f t="shared" si="2"/>
        <v>Fail</v>
      </c>
      <c r="K37" t="str" cm="1">
        <f t="array" ref="K37">_xlfn.IFS(I37&gt;=75,"A+",I37&gt;=60,"B",I37&gt;=50,"C",I37&gt;=35,"D",,"F")</f>
        <v>C</v>
      </c>
      <c r="L37" t="str">
        <f t="shared" si="3"/>
        <v>NOT ELIGIBLE</v>
      </c>
      <c r="O37" t="str">
        <v>STU010</v>
      </c>
      <c r="P37" t="str">
        <v>Ishita Singh</v>
      </c>
      <c r="Q37">
        <v>70</v>
      </c>
      <c r="R37">
        <v>100</v>
      </c>
      <c r="S37">
        <v>51</v>
      </c>
      <c r="T37">
        <v>26</v>
      </c>
      <c r="U37">
        <v>62</v>
      </c>
      <c r="V37">
        <v>309</v>
      </c>
      <c r="W37">
        <v>61.8</v>
      </c>
      <c r="X37" t="str">
        <v>Fail</v>
      </c>
      <c r="Y37" t="str">
        <v>B</v>
      </c>
      <c r="Z37" t="str">
        <v>NOT ELIGIBLE</v>
      </c>
    </row>
    <row r="38" spans="1:26" x14ac:dyDescent="0.2">
      <c r="A38" t="s">
        <v>237</v>
      </c>
      <c r="B38" t="s">
        <v>207</v>
      </c>
      <c r="C38">
        <v>51</v>
      </c>
      <c r="D38">
        <v>47</v>
      </c>
      <c r="E38">
        <v>42</v>
      </c>
      <c r="F38">
        <v>38</v>
      </c>
      <c r="G38">
        <v>91</v>
      </c>
      <c r="H38">
        <f t="shared" si="0"/>
        <v>269</v>
      </c>
      <c r="I38">
        <f t="shared" si="1"/>
        <v>53.800000000000004</v>
      </c>
      <c r="J38" t="str">
        <f t="shared" si="2"/>
        <v>Pass</v>
      </c>
      <c r="K38" t="str" cm="1">
        <f t="array" ref="K38">_xlfn.IFS(I38&gt;=75,"A+",I38&gt;=60,"B",I38&gt;=50,"C",I38&gt;=35,"D",,"F")</f>
        <v>C</v>
      </c>
      <c r="L38" t="str">
        <f t="shared" si="3"/>
        <v>NOT ELIGIBLE</v>
      </c>
      <c r="O38" t="str">
        <v>STU021</v>
      </c>
      <c r="P38" t="str">
        <v>Riya Shah</v>
      </c>
      <c r="Q38">
        <v>67</v>
      </c>
      <c r="R38">
        <v>13</v>
      </c>
      <c r="S38">
        <v>97</v>
      </c>
      <c r="T38">
        <v>48</v>
      </c>
      <c r="U38">
        <v>79</v>
      </c>
      <c r="V38">
        <v>304</v>
      </c>
      <c r="W38">
        <v>60.8</v>
      </c>
      <c r="X38" t="str">
        <v>Fail</v>
      </c>
      <c r="Y38" t="str">
        <v>B</v>
      </c>
      <c r="Z38" t="str">
        <v>NOT ELIGIBLE</v>
      </c>
    </row>
    <row r="39" spans="1:26" x14ac:dyDescent="0.2">
      <c r="A39" t="s">
        <v>231</v>
      </c>
      <c r="B39" t="s">
        <v>201</v>
      </c>
      <c r="C39">
        <v>53</v>
      </c>
      <c r="D39">
        <v>62</v>
      </c>
      <c r="E39">
        <v>49</v>
      </c>
      <c r="F39">
        <v>26</v>
      </c>
      <c r="G39">
        <v>21</v>
      </c>
      <c r="H39">
        <f t="shared" si="0"/>
        <v>211</v>
      </c>
      <c r="I39">
        <f t="shared" si="1"/>
        <v>42.199999999999996</v>
      </c>
      <c r="J39" t="str">
        <f t="shared" si="2"/>
        <v>Fail</v>
      </c>
      <c r="K39" t="str" cm="1">
        <f t="array" ref="K39">_xlfn.IFS(I39&gt;=75,"A+",I39&gt;=60,"B",I39&gt;=50,"C",I39&gt;=35,"D",,"F")</f>
        <v>D</v>
      </c>
      <c r="L39" t="str">
        <f t="shared" si="3"/>
        <v>NOT ELIGIBLE</v>
      </c>
      <c r="O39" t="str">
        <v>STU006</v>
      </c>
      <c r="P39" t="str">
        <v>Aditi Joshi</v>
      </c>
      <c r="Q39">
        <v>70</v>
      </c>
      <c r="R39">
        <v>100</v>
      </c>
      <c r="S39">
        <v>37</v>
      </c>
      <c r="T39">
        <v>52</v>
      </c>
      <c r="U39">
        <v>43</v>
      </c>
      <c r="V39">
        <v>302</v>
      </c>
      <c r="W39">
        <v>60.4</v>
      </c>
      <c r="X39" t="str">
        <v>Pass</v>
      </c>
      <c r="Y39" t="str">
        <v>B</v>
      </c>
      <c r="Z39" t="str">
        <v>NOT ELIGIBLE</v>
      </c>
    </row>
    <row r="40" spans="1:26" x14ac:dyDescent="0.2">
      <c r="A40" t="s">
        <v>227</v>
      </c>
      <c r="B40" t="s">
        <v>197</v>
      </c>
      <c r="C40">
        <v>54</v>
      </c>
      <c r="D40">
        <v>30</v>
      </c>
      <c r="E40">
        <v>31</v>
      </c>
      <c r="F40">
        <v>73</v>
      </c>
      <c r="G40">
        <v>52</v>
      </c>
      <c r="H40">
        <f t="shared" si="0"/>
        <v>240</v>
      </c>
      <c r="I40">
        <f t="shared" si="1"/>
        <v>48</v>
      </c>
      <c r="J40" t="str">
        <f t="shared" si="2"/>
        <v>Fail</v>
      </c>
      <c r="K40" t="str" cm="1">
        <f t="array" ref="K40">_xlfn.IFS(I40&gt;=75,"A+",I40&gt;=60,"B",I40&gt;=50,"C",I40&gt;=35,"D",,"F")</f>
        <v>D</v>
      </c>
      <c r="L40" t="str">
        <f t="shared" si="3"/>
        <v>NOT ELIGIBLE</v>
      </c>
      <c r="O40" t="str">
        <v>STU015</v>
      </c>
      <c r="P40" t="str">
        <v>Manav Joshi</v>
      </c>
      <c r="Q40">
        <v>44</v>
      </c>
      <c r="R40">
        <v>86</v>
      </c>
      <c r="S40">
        <v>27</v>
      </c>
      <c r="T40">
        <v>48</v>
      </c>
      <c r="U40">
        <v>95</v>
      </c>
      <c r="V40">
        <v>300</v>
      </c>
      <c r="W40">
        <v>60</v>
      </c>
      <c r="X40" t="str">
        <v>Fail</v>
      </c>
      <c r="Y40" t="str">
        <v>B</v>
      </c>
      <c r="Z40" t="str">
        <v>NOT ELIGIBLE</v>
      </c>
    </row>
    <row r="41" spans="1:26" x14ac:dyDescent="0.2">
      <c r="A41" t="s">
        <v>222</v>
      </c>
      <c r="B41" t="s">
        <v>193</v>
      </c>
      <c r="C41">
        <v>55</v>
      </c>
      <c r="D41">
        <v>23</v>
      </c>
      <c r="E41">
        <v>37</v>
      </c>
      <c r="F41">
        <v>36</v>
      </c>
      <c r="G41">
        <v>48</v>
      </c>
      <c r="H41">
        <f t="shared" si="0"/>
        <v>199</v>
      </c>
      <c r="I41">
        <f t="shared" si="1"/>
        <v>39.800000000000004</v>
      </c>
      <c r="J41" t="str">
        <f t="shared" si="2"/>
        <v>Fail</v>
      </c>
      <c r="K41" t="str" cm="1">
        <f t="array" ref="K41">_xlfn.IFS(I41&gt;=75,"A+",I41&gt;=60,"B",I41&gt;=50,"C",I41&gt;=35,"D",,"F")</f>
        <v>D</v>
      </c>
      <c r="L41" t="str">
        <f t="shared" si="3"/>
        <v>NOT ELIGIBLE</v>
      </c>
      <c r="O41" t="str">
        <v>STU005</v>
      </c>
      <c r="P41" t="str">
        <v>Aryan Kulkarni</v>
      </c>
      <c r="Q41">
        <v>33</v>
      </c>
      <c r="R41">
        <v>98</v>
      </c>
      <c r="S41">
        <v>14</v>
      </c>
      <c r="T41">
        <v>96</v>
      </c>
      <c r="U41">
        <v>56</v>
      </c>
      <c r="V41">
        <v>297</v>
      </c>
      <c r="W41">
        <v>59.4</v>
      </c>
      <c r="X41" t="str">
        <v>Fail</v>
      </c>
      <c r="Y41" t="str">
        <v>C</v>
      </c>
      <c r="Z41" t="str">
        <v>NOT ELIGIBLE</v>
      </c>
    </row>
    <row r="42" spans="1:26" x14ac:dyDescent="0.2">
      <c r="A42" t="s">
        <v>210</v>
      </c>
      <c r="B42" t="s">
        <v>181</v>
      </c>
      <c r="C42">
        <v>58</v>
      </c>
      <c r="D42">
        <v>50</v>
      </c>
      <c r="E42">
        <v>78</v>
      </c>
      <c r="F42">
        <v>16</v>
      </c>
      <c r="G42">
        <v>46</v>
      </c>
      <c r="H42">
        <f t="shared" si="0"/>
        <v>248</v>
      </c>
      <c r="I42">
        <f t="shared" si="1"/>
        <v>49.6</v>
      </c>
      <c r="J42" t="str">
        <f t="shared" si="2"/>
        <v>Fail</v>
      </c>
      <c r="K42" t="str" cm="1">
        <f t="array" ref="K42">_xlfn.IFS(I42&gt;=75,"A+",I42&gt;=60,"B",I42&gt;=50,"C",I42&gt;=35,"D",,"F")</f>
        <v>D</v>
      </c>
      <c r="L42" t="str">
        <f t="shared" si="3"/>
        <v>NOT ELIGIBLE</v>
      </c>
      <c r="O42" t="str">
        <v>STU009</v>
      </c>
      <c r="P42" t="str">
        <v>Dhruv Mehta</v>
      </c>
      <c r="Q42">
        <v>20</v>
      </c>
      <c r="R42">
        <v>51</v>
      </c>
      <c r="S42">
        <v>73</v>
      </c>
      <c r="T42">
        <v>45</v>
      </c>
      <c r="U42">
        <v>96</v>
      </c>
      <c r="V42">
        <v>285</v>
      </c>
      <c r="W42">
        <v>56.999999999999993</v>
      </c>
      <c r="X42" t="str">
        <v>Fail</v>
      </c>
      <c r="Y42" t="str">
        <v>C</v>
      </c>
      <c r="Z42" t="str">
        <v>NOT ELIGIBLE</v>
      </c>
    </row>
    <row r="43" spans="1:26" x14ac:dyDescent="0.2">
      <c r="A43" t="s">
        <v>216</v>
      </c>
      <c r="B43" t="s">
        <v>187</v>
      </c>
      <c r="C43">
        <v>63</v>
      </c>
      <c r="D43">
        <v>14</v>
      </c>
      <c r="E43">
        <v>66</v>
      </c>
      <c r="F43">
        <v>11</v>
      </c>
      <c r="G43">
        <v>56</v>
      </c>
      <c r="H43">
        <f t="shared" si="0"/>
        <v>210</v>
      </c>
      <c r="I43">
        <f t="shared" si="1"/>
        <v>42</v>
      </c>
      <c r="J43" t="str">
        <f t="shared" si="2"/>
        <v>Fail</v>
      </c>
      <c r="K43" t="str" cm="1">
        <f t="array" ref="K43">_xlfn.IFS(I43&gt;=75,"A+",I43&gt;=60,"B",I43&gt;=50,"C",I43&gt;=35,"D",,"F")</f>
        <v>D</v>
      </c>
      <c r="L43" t="str">
        <f t="shared" si="3"/>
        <v>NOT ELIGIBLE</v>
      </c>
      <c r="O43" t="str">
        <v>STU024</v>
      </c>
      <c r="P43" t="str">
        <v>Samarth Joshi</v>
      </c>
      <c r="Q43">
        <v>81</v>
      </c>
      <c r="R43">
        <v>96</v>
      </c>
      <c r="S43">
        <v>24</v>
      </c>
      <c r="T43">
        <v>24</v>
      </c>
      <c r="U43">
        <v>58</v>
      </c>
      <c r="V43">
        <v>283</v>
      </c>
      <c r="W43">
        <v>56.599999999999994</v>
      </c>
      <c r="X43" t="str">
        <v>Fail</v>
      </c>
      <c r="Y43" t="str">
        <v>C</v>
      </c>
      <c r="Z43" t="str">
        <v>NOT ELIGIBLE</v>
      </c>
    </row>
    <row r="44" spans="1:26" x14ac:dyDescent="0.2">
      <c r="A44" t="s">
        <v>220</v>
      </c>
      <c r="B44" t="s">
        <v>191</v>
      </c>
      <c r="C44">
        <v>64</v>
      </c>
      <c r="D44">
        <v>40</v>
      </c>
      <c r="E44">
        <v>71</v>
      </c>
      <c r="F44">
        <v>98</v>
      </c>
      <c r="G44">
        <v>45</v>
      </c>
      <c r="H44">
        <f t="shared" si="0"/>
        <v>318</v>
      </c>
      <c r="I44">
        <f t="shared" si="1"/>
        <v>63.6</v>
      </c>
      <c r="J44" t="str">
        <f t="shared" si="2"/>
        <v>Pass</v>
      </c>
      <c r="K44" t="str" cm="1">
        <f t="array" ref="K44">_xlfn.IFS(I44&gt;=75,"A+",I44&gt;=60,"B",I44&gt;=50,"C",I44&gt;=35,"D",,"F")</f>
        <v>B</v>
      </c>
      <c r="L44" t="str">
        <f t="shared" si="3"/>
        <v>NOT ELIGIBLE</v>
      </c>
      <c r="O44" t="str">
        <v>STU027</v>
      </c>
      <c r="P44" t="str">
        <v>Sneha Patil</v>
      </c>
      <c r="Q44">
        <v>29</v>
      </c>
      <c r="R44">
        <v>91</v>
      </c>
      <c r="S44">
        <v>16</v>
      </c>
      <c r="T44">
        <v>93</v>
      </c>
      <c r="U44">
        <v>46</v>
      </c>
      <c r="V44">
        <v>275</v>
      </c>
      <c r="W44">
        <v>55.000000000000007</v>
      </c>
      <c r="X44" t="str">
        <v>Fail</v>
      </c>
      <c r="Y44" t="str">
        <v>C</v>
      </c>
      <c r="Z44" t="str">
        <v>NOT ELIGIBLE</v>
      </c>
    </row>
    <row r="45" spans="1:26" x14ac:dyDescent="0.2">
      <c r="A45" t="s">
        <v>230</v>
      </c>
      <c r="B45" t="s">
        <v>200</v>
      </c>
      <c r="C45">
        <v>67</v>
      </c>
      <c r="D45">
        <v>13</v>
      </c>
      <c r="E45">
        <v>97</v>
      </c>
      <c r="F45">
        <v>48</v>
      </c>
      <c r="G45">
        <v>79</v>
      </c>
      <c r="H45">
        <f t="shared" si="0"/>
        <v>304</v>
      </c>
      <c r="I45">
        <f t="shared" si="1"/>
        <v>60.8</v>
      </c>
      <c r="J45" t="str">
        <f t="shared" si="2"/>
        <v>Fail</v>
      </c>
      <c r="K45" t="str" cm="1">
        <f t="array" ref="K45">_xlfn.IFS(I45&gt;=75,"A+",I45&gt;=60,"B",I45&gt;=50,"C",I45&gt;=35,"D",,"F")</f>
        <v>B</v>
      </c>
      <c r="L45" t="str">
        <f t="shared" si="3"/>
        <v>NOT ELIGIBLE</v>
      </c>
      <c r="O45" t="str">
        <v>STU002</v>
      </c>
      <c r="P45" t="str">
        <v>Aditya Patil</v>
      </c>
      <c r="Q45">
        <v>13</v>
      </c>
      <c r="R45">
        <v>69</v>
      </c>
      <c r="S45">
        <v>72</v>
      </c>
      <c r="T45">
        <v>55</v>
      </c>
      <c r="U45">
        <v>61</v>
      </c>
      <c r="V45">
        <v>270</v>
      </c>
      <c r="W45">
        <v>54</v>
      </c>
      <c r="X45" t="str">
        <v>Fail</v>
      </c>
      <c r="Y45" t="str">
        <v>C</v>
      </c>
      <c r="Z45" t="str">
        <v>NOT ELIGIBLE</v>
      </c>
    </row>
    <row r="46" spans="1:26" x14ac:dyDescent="0.2">
      <c r="A46" s="18" t="s">
        <v>215</v>
      </c>
      <c r="B46" s="18" t="s">
        <v>186</v>
      </c>
      <c r="C46">
        <v>70</v>
      </c>
      <c r="D46">
        <v>100</v>
      </c>
      <c r="E46">
        <v>37</v>
      </c>
      <c r="F46">
        <v>52</v>
      </c>
      <c r="G46">
        <v>43</v>
      </c>
      <c r="H46">
        <f t="shared" si="0"/>
        <v>302</v>
      </c>
      <c r="I46">
        <f t="shared" si="1"/>
        <v>60.4</v>
      </c>
      <c r="J46" t="str">
        <f t="shared" si="2"/>
        <v>Pass</v>
      </c>
      <c r="K46" t="str" cm="1">
        <f t="array" ref="K46">_xlfn.IFS(I46&gt;=75,"A+",I46&gt;=60,"B",I46&gt;=50,"C",I46&gt;=35,"D",,"F")</f>
        <v>B</v>
      </c>
      <c r="L46" t="str">
        <f t="shared" si="3"/>
        <v>NOT ELIGIBLE</v>
      </c>
      <c r="O46" t="str">
        <v>STU028</v>
      </c>
      <c r="P46" t="str">
        <v>Tanvi Sharma</v>
      </c>
      <c r="Q46">
        <v>51</v>
      </c>
      <c r="R46">
        <v>47</v>
      </c>
      <c r="S46">
        <v>42</v>
      </c>
      <c r="T46">
        <v>38</v>
      </c>
      <c r="U46">
        <v>91</v>
      </c>
      <c r="V46">
        <v>269</v>
      </c>
      <c r="W46">
        <v>53.800000000000004</v>
      </c>
      <c r="X46" t="str">
        <v>Pass</v>
      </c>
      <c r="Y46" t="str">
        <v>C</v>
      </c>
      <c r="Z46" t="str">
        <v>NOT ELIGIBLE</v>
      </c>
    </row>
    <row r="47" spans="1:26" x14ac:dyDescent="0.2">
      <c r="A47" t="s">
        <v>219</v>
      </c>
      <c r="B47" t="s">
        <v>190</v>
      </c>
      <c r="C47">
        <v>70</v>
      </c>
      <c r="D47">
        <v>100</v>
      </c>
      <c r="E47">
        <v>51</v>
      </c>
      <c r="F47">
        <v>26</v>
      </c>
      <c r="G47">
        <v>62</v>
      </c>
      <c r="H47">
        <f t="shared" si="0"/>
        <v>309</v>
      </c>
      <c r="I47">
        <f t="shared" si="1"/>
        <v>61.8</v>
      </c>
      <c r="J47" t="str">
        <f t="shared" si="2"/>
        <v>Fail</v>
      </c>
      <c r="K47" t="str" cm="1">
        <f t="array" ref="K47">_xlfn.IFS(I47&gt;=75,"A+",I47&gt;=60,"B",I47&gt;=50,"C",I47&gt;=35,"D",,"F")</f>
        <v>B</v>
      </c>
      <c r="L47" t="str">
        <f t="shared" si="3"/>
        <v>NOT ELIGIBLE</v>
      </c>
      <c r="O47" t="str">
        <v>STU030</v>
      </c>
      <c r="P47" t="str">
        <v>Yash Kulkarni</v>
      </c>
      <c r="Q47">
        <v>49</v>
      </c>
      <c r="R47">
        <v>15</v>
      </c>
      <c r="S47">
        <v>37</v>
      </c>
      <c r="T47">
        <v>72</v>
      </c>
      <c r="U47">
        <v>89</v>
      </c>
      <c r="V47">
        <v>262</v>
      </c>
      <c r="W47">
        <v>52.400000000000006</v>
      </c>
      <c r="X47" t="str">
        <v>Fail</v>
      </c>
      <c r="Y47" t="str">
        <v>C</v>
      </c>
      <c r="Z47" t="str">
        <v>NOT ELIGIBLE</v>
      </c>
    </row>
    <row r="48" spans="1:26" x14ac:dyDescent="0.2">
      <c r="A48" t="s">
        <v>226</v>
      </c>
      <c r="B48" t="s">
        <v>73</v>
      </c>
      <c r="C48">
        <v>71</v>
      </c>
      <c r="D48">
        <v>69</v>
      </c>
      <c r="E48">
        <v>51</v>
      </c>
      <c r="F48">
        <v>85</v>
      </c>
      <c r="G48">
        <v>52</v>
      </c>
      <c r="H48">
        <f t="shared" si="0"/>
        <v>328</v>
      </c>
      <c r="I48">
        <f t="shared" si="1"/>
        <v>65.600000000000009</v>
      </c>
      <c r="J48" t="str">
        <f t="shared" si="2"/>
        <v>Pass</v>
      </c>
      <c r="K48" t="str" cm="1">
        <f t="array" ref="K48">_xlfn.IFS(I48&gt;=75,"A+",I48&gt;=60,"B",I48&gt;=50,"C",I48&gt;=35,"D",,"F")</f>
        <v>B</v>
      </c>
      <c r="L48" t="str">
        <f t="shared" si="3"/>
        <v>NOT ELIGIBLE</v>
      </c>
      <c r="O48" t="str">
        <v>STU025</v>
      </c>
      <c r="P48" t="str">
        <v>Shreya Deshmukh</v>
      </c>
      <c r="Q48">
        <v>76</v>
      </c>
      <c r="R48">
        <v>17</v>
      </c>
      <c r="S48">
        <v>54</v>
      </c>
      <c r="T48">
        <v>33</v>
      </c>
      <c r="U48">
        <v>77</v>
      </c>
      <c r="V48">
        <v>257</v>
      </c>
      <c r="W48">
        <v>51.4</v>
      </c>
      <c r="X48" t="str">
        <v>Fail</v>
      </c>
      <c r="Y48" t="str">
        <v>C</v>
      </c>
      <c r="Z48" t="str">
        <v>NOT ELIGIBLE</v>
      </c>
    </row>
    <row r="49" spans="1:26" x14ac:dyDescent="0.2">
      <c r="A49" t="s">
        <v>238</v>
      </c>
      <c r="B49" t="s">
        <v>208</v>
      </c>
      <c r="C49">
        <v>72</v>
      </c>
      <c r="D49">
        <v>77</v>
      </c>
      <c r="E49">
        <v>59</v>
      </c>
      <c r="F49">
        <v>71</v>
      </c>
      <c r="G49">
        <v>65</v>
      </c>
      <c r="H49">
        <f t="shared" si="0"/>
        <v>344</v>
      </c>
      <c r="I49">
        <f t="shared" si="1"/>
        <v>68.8</v>
      </c>
      <c r="J49" t="str">
        <f t="shared" si="2"/>
        <v>Pass</v>
      </c>
      <c r="K49" t="str" cm="1">
        <f t="array" ref="K49">_xlfn.IFS(I49&gt;=75,"A+",I49&gt;=60,"B",I49&gt;=50,"C",I49&gt;=35,"D",,"F")</f>
        <v>B</v>
      </c>
      <c r="L49" t="str">
        <f t="shared" si="3"/>
        <v>NOT ELIGIBLE</v>
      </c>
      <c r="O49" t="str">
        <v>STU014</v>
      </c>
      <c r="P49" t="str">
        <v>Manya Gupta</v>
      </c>
      <c r="Q49">
        <v>24</v>
      </c>
      <c r="R49">
        <v>42</v>
      </c>
      <c r="S49">
        <v>81</v>
      </c>
      <c r="T49">
        <v>16</v>
      </c>
      <c r="U49">
        <v>92</v>
      </c>
      <c r="V49">
        <v>255</v>
      </c>
      <c r="W49">
        <v>51</v>
      </c>
      <c r="X49" t="str">
        <v>Fail</v>
      </c>
      <c r="Y49" t="str">
        <v>C</v>
      </c>
      <c r="Z49" t="str">
        <v>NOT ELIGIBLE</v>
      </c>
    </row>
    <row r="50" spans="1:26" x14ac:dyDescent="0.2">
      <c r="A50" t="s">
        <v>234</v>
      </c>
      <c r="B50" t="s">
        <v>204</v>
      </c>
      <c r="C50">
        <v>76</v>
      </c>
      <c r="D50">
        <v>17</v>
      </c>
      <c r="E50">
        <v>54</v>
      </c>
      <c r="F50">
        <v>33</v>
      </c>
      <c r="G50">
        <v>77</v>
      </c>
      <c r="H50">
        <f t="shared" si="0"/>
        <v>257</v>
      </c>
      <c r="I50">
        <f t="shared" si="1"/>
        <v>51.4</v>
      </c>
      <c r="J50" t="str">
        <f t="shared" si="2"/>
        <v>Fail</v>
      </c>
      <c r="K50" t="str" cm="1">
        <f t="array" ref="K50">_xlfn.IFS(I50&gt;=75,"A+",I50&gt;=60,"B",I50&gt;=50,"C",I50&gt;=35,"D",,"F")</f>
        <v>C</v>
      </c>
      <c r="L50" t="str">
        <f t="shared" si="3"/>
        <v>NOT ELIGIBLE</v>
      </c>
      <c r="O50" t="str">
        <v>STU001</v>
      </c>
      <c r="P50" t="str">
        <v>Aarav Sharma</v>
      </c>
      <c r="Q50">
        <v>58</v>
      </c>
      <c r="R50">
        <v>50</v>
      </c>
      <c r="S50">
        <v>78</v>
      </c>
      <c r="T50">
        <v>16</v>
      </c>
      <c r="U50">
        <v>46</v>
      </c>
      <c r="V50">
        <v>248</v>
      </c>
      <c r="W50">
        <v>49.6</v>
      </c>
      <c r="X50" t="str">
        <v>Fail</v>
      </c>
      <c r="Y50" t="str">
        <v>D</v>
      </c>
      <c r="Z50" t="str">
        <v>NOT ELIGIBLE</v>
      </c>
    </row>
    <row r="51" spans="1:26" x14ac:dyDescent="0.2">
      <c r="A51" t="s">
        <v>221</v>
      </c>
      <c r="B51" t="s">
        <v>192</v>
      </c>
      <c r="C51">
        <v>79</v>
      </c>
      <c r="D51">
        <v>67</v>
      </c>
      <c r="E51">
        <v>82</v>
      </c>
      <c r="F51">
        <v>90</v>
      </c>
      <c r="G51">
        <v>30</v>
      </c>
      <c r="H51">
        <f t="shared" si="0"/>
        <v>348</v>
      </c>
      <c r="I51">
        <f t="shared" si="1"/>
        <v>69.599999999999994</v>
      </c>
      <c r="J51" t="str">
        <f t="shared" si="2"/>
        <v>Fail</v>
      </c>
      <c r="K51" t="str" cm="1">
        <f t="array" ref="K51">_xlfn.IFS(I51&gt;=75,"A+",I51&gt;=60,"B",I51&gt;=50,"C",I51&gt;=35,"D",,"F")</f>
        <v>B</v>
      </c>
      <c r="L51" t="str">
        <f t="shared" si="3"/>
        <v>NOT ELIGIBLE</v>
      </c>
      <c r="O51" t="str">
        <v>STU003</v>
      </c>
      <c r="P51" t="str">
        <v>Akash Verma</v>
      </c>
      <c r="Q51">
        <v>100</v>
      </c>
      <c r="R51">
        <v>57</v>
      </c>
      <c r="S51">
        <v>38</v>
      </c>
      <c r="T51">
        <v>22</v>
      </c>
      <c r="U51">
        <v>31</v>
      </c>
      <c r="V51">
        <v>248</v>
      </c>
      <c r="W51">
        <v>49.6</v>
      </c>
      <c r="X51" t="str">
        <v>Fail</v>
      </c>
      <c r="Y51" t="str">
        <v>D</v>
      </c>
      <c r="Z51" t="str">
        <v>NOT ELIGIBLE</v>
      </c>
    </row>
    <row r="52" spans="1:26" x14ac:dyDescent="0.2">
      <c r="A52" t="s">
        <v>232</v>
      </c>
      <c r="B52" t="s">
        <v>202</v>
      </c>
      <c r="C52">
        <v>79</v>
      </c>
      <c r="D52">
        <v>94</v>
      </c>
      <c r="E52">
        <v>97</v>
      </c>
      <c r="F52">
        <v>75</v>
      </c>
      <c r="G52">
        <v>45</v>
      </c>
      <c r="H52">
        <f t="shared" si="0"/>
        <v>390</v>
      </c>
      <c r="I52">
        <f t="shared" si="1"/>
        <v>78</v>
      </c>
      <c r="J52" t="str">
        <f t="shared" si="2"/>
        <v>Pass</v>
      </c>
      <c r="K52" t="str" cm="1">
        <f t="array" ref="K52">_xlfn.IFS(I52&gt;=75,"A+",I52&gt;=60,"B",I52&gt;=50,"C",I52&gt;=35,"D",,"F")</f>
        <v>A+</v>
      </c>
      <c r="L52" t="str">
        <f t="shared" si="3"/>
        <v>ELIGIBLE</v>
      </c>
      <c r="O52" t="str">
        <v>STU018</v>
      </c>
      <c r="P52" t="str">
        <v>Nikhil Deshmukh</v>
      </c>
      <c r="Q52">
        <v>54</v>
      </c>
      <c r="R52">
        <v>30</v>
      </c>
      <c r="S52">
        <v>31</v>
      </c>
      <c r="T52">
        <v>73</v>
      </c>
      <c r="U52">
        <v>52</v>
      </c>
      <c r="V52">
        <v>240</v>
      </c>
      <c r="W52">
        <v>48</v>
      </c>
      <c r="X52" t="str">
        <v>Fail</v>
      </c>
      <c r="Y52" t="str">
        <v>D</v>
      </c>
      <c r="Z52" t="str">
        <v>NOT ELIGIBLE</v>
      </c>
    </row>
    <row r="53" spans="1:26" x14ac:dyDescent="0.2">
      <c r="A53" t="s">
        <v>233</v>
      </c>
      <c r="B53" t="s">
        <v>203</v>
      </c>
      <c r="C53">
        <v>81</v>
      </c>
      <c r="D53">
        <v>96</v>
      </c>
      <c r="E53">
        <v>24</v>
      </c>
      <c r="F53">
        <v>24</v>
      </c>
      <c r="G53">
        <v>58</v>
      </c>
      <c r="H53">
        <f t="shared" si="0"/>
        <v>283</v>
      </c>
      <c r="I53">
        <f t="shared" si="1"/>
        <v>56.599999999999994</v>
      </c>
      <c r="J53" t="str">
        <f t="shared" si="2"/>
        <v>Fail</v>
      </c>
      <c r="K53" t="str" cm="1">
        <f t="array" ref="K53">_xlfn.IFS(I53&gt;=75,"A+",I53&gt;=60,"B",I53&gt;=50,"C",I53&gt;=35,"D",,"F")</f>
        <v>C</v>
      </c>
      <c r="L53" t="str">
        <f t="shared" si="3"/>
        <v>NOT ELIGIBLE</v>
      </c>
      <c r="O53" t="str">
        <v>STU022</v>
      </c>
      <c r="P53" t="str">
        <v>Rohan Patil</v>
      </c>
      <c r="Q53">
        <v>53</v>
      </c>
      <c r="R53">
        <v>62</v>
      </c>
      <c r="S53">
        <v>49</v>
      </c>
      <c r="T53">
        <v>26</v>
      </c>
      <c r="U53">
        <v>21</v>
      </c>
      <c r="V53">
        <v>211</v>
      </c>
      <c r="W53">
        <v>42.199999999999996</v>
      </c>
      <c r="X53" t="str">
        <v>Fail</v>
      </c>
      <c r="Y53" t="str">
        <v>D</v>
      </c>
      <c r="Z53" t="str">
        <v>NOT ELIGIBLE</v>
      </c>
    </row>
    <row r="54" spans="1:26" x14ac:dyDescent="0.2">
      <c r="A54" t="s">
        <v>217</v>
      </c>
      <c r="B54" t="s">
        <v>188</v>
      </c>
      <c r="C54">
        <v>82</v>
      </c>
      <c r="D54">
        <v>92</v>
      </c>
      <c r="E54">
        <v>79</v>
      </c>
      <c r="F54">
        <v>54</v>
      </c>
      <c r="G54">
        <v>33</v>
      </c>
      <c r="H54">
        <f t="shared" si="0"/>
        <v>340</v>
      </c>
      <c r="I54">
        <f t="shared" si="1"/>
        <v>68</v>
      </c>
      <c r="J54" t="str">
        <f t="shared" si="2"/>
        <v>Fail</v>
      </c>
      <c r="K54" t="str" cm="1">
        <f t="array" ref="K54">_xlfn.IFS(I54&gt;=75,"A+",I54&gt;=60,"B",I54&gt;=50,"C",I54&gt;=35,"D",,"F")</f>
        <v>B</v>
      </c>
      <c r="L54" t="str">
        <f t="shared" si="3"/>
        <v>NOT ELIGIBLE</v>
      </c>
      <c r="O54" t="str">
        <v>STU007</v>
      </c>
      <c r="P54" t="str">
        <v>Atharv More</v>
      </c>
      <c r="Q54">
        <v>63</v>
      </c>
      <c r="R54">
        <v>14</v>
      </c>
      <c r="S54">
        <v>66</v>
      </c>
      <c r="T54">
        <v>11</v>
      </c>
      <c r="U54">
        <v>56</v>
      </c>
      <c r="V54">
        <v>210</v>
      </c>
      <c r="W54">
        <v>42</v>
      </c>
      <c r="X54" t="str">
        <v>Fail</v>
      </c>
      <c r="Y54" t="str">
        <v>D</v>
      </c>
      <c r="Z54" t="str">
        <v>NOT ELIGIBLE</v>
      </c>
    </row>
    <row r="55" spans="1:26" x14ac:dyDescent="0.2">
      <c r="A55" t="s">
        <v>212</v>
      </c>
      <c r="B55" t="s">
        <v>183</v>
      </c>
      <c r="C55">
        <v>100</v>
      </c>
      <c r="D55">
        <v>57</v>
      </c>
      <c r="E55">
        <v>38</v>
      </c>
      <c r="F55">
        <v>22</v>
      </c>
      <c r="G55">
        <v>31</v>
      </c>
      <c r="H55">
        <f t="shared" si="0"/>
        <v>248</v>
      </c>
      <c r="I55">
        <f t="shared" si="1"/>
        <v>49.6</v>
      </c>
      <c r="J55" t="str">
        <f t="shared" si="2"/>
        <v>Fail</v>
      </c>
      <c r="K55" t="str" cm="1">
        <f t="array" ref="K55">_xlfn.IFS(I55&gt;=75,"A+",I55&gt;=60,"B",I55&gt;=50,"C",I55&gt;=35,"D",,"F")</f>
        <v>D</v>
      </c>
      <c r="L55" t="str">
        <f t="shared" si="3"/>
        <v>NOT ELIGIBLE</v>
      </c>
      <c r="O55" t="str">
        <v>STU016</v>
      </c>
      <c r="P55" t="str">
        <v>Meera Kulkarni</v>
      </c>
      <c r="Q55">
        <v>17</v>
      </c>
      <c r="R55">
        <v>10</v>
      </c>
      <c r="S55">
        <v>55</v>
      </c>
      <c r="T55">
        <v>38</v>
      </c>
      <c r="U55">
        <v>81</v>
      </c>
      <c r="V55">
        <v>201</v>
      </c>
      <c r="W55">
        <v>40.200000000000003</v>
      </c>
      <c r="X55" t="str">
        <v>Fail</v>
      </c>
      <c r="Y55" t="str">
        <v>D</v>
      </c>
      <c r="Z55" t="str">
        <v>NOT ELIGIBLE</v>
      </c>
    </row>
    <row r="56" spans="1:26" x14ac:dyDescent="0.2">
      <c r="E56"/>
      <c r="F56"/>
      <c r="G56"/>
      <c r="O56" t="str">
        <v>STU013</v>
      </c>
      <c r="P56" t="str">
        <v>Krish Shah</v>
      </c>
      <c r="Q56">
        <v>55</v>
      </c>
      <c r="R56">
        <v>23</v>
      </c>
      <c r="S56">
        <v>37</v>
      </c>
      <c r="T56">
        <v>36</v>
      </c>
      <c r="U56">
        <v>48</v>
      </c>
      <c r="V56">
        <v>199</v>
      </c>
      <c r="W56">
        <v>39.800000000000004</v>
      </c>
      <c r="X56" t="str">
        <v>Fail</v>
      </c>
      <c r="Y56" t="str">
        <v>D</v>
      </c>
      <c r="Z56" t="str">
        <v>NOT ELIGIBLE</v>
      </c>
    </row>
    <row r="57" spans="1:26" x14ac:dyDescent="0.2">
      <c r="I57" t="s">
        <v>240</v>
      </c>
      <c r="O57" t="str">
        <v>STU026</v>
      </c>
      <c r="P57" t="str">
        <v>Siddharth Mehta</v>
      </c>
      <c r="Q57">
        <v>11</v>
      </c>
      <c r="R57">
        <v>33</v>
      </c>
      <c r="S57">
        <v>54</v>
      </c>
      <c r="T57">
        <v>53</v>
      </c>
      <c r="U57">
        <v>16</v>
      </c>
      <c r="V57">
        <v>167</v>
      </c>
      <c r="W57">
        <v>33.4</v>
      </c>
      <c r="X57" t="str">
        <v>Fail</v>
      </c>
      <c r="Y57" t="e">
        <v>#N/A</v>
      </c>
      <c r="Z57" t="str">
        <v>NOT ELIGIBLE</v>
      </c>
    </row>
    <row r="58" spans="1:26" x14ac:dyDescent="0.2">
      <c r="B58" t="s">
        <v>243</v>
      </c>
      <c r="I58">
        <f>AVERAGE(I26,I55)</f>
        <v>41.5</v>
      </c>
    </row>
    <row r="59" spans="1:26" x14ac:dyDescent="0.2">
      <c r="B59">
        <f>COUNT(C26:C55)</f>
        <v>30</v>
      </c>
      <c r="I59" t="s">
        <v>241</v>
      </c>
    </row>
    <row r="60" spans="1:26" x14ac:dyDescent="0.2">
      <c r="I60">
        <f>MAX(I26:I55)</f>
        <v>85.8</v>
      </c>
    </row>
    <row r="61" spans="1:26" x14ac:dyDescent="0.2">
      <c r="I61" t="s">
        <v>242</v>
      </c>
    </row>
    <row r="62" spans="1:26" x14ac:dyDescent="0.2">
      <c r="I62">
        <f>MIN(I26:I55)</f>
        <v>33.4</v>
      </c>
    </row>
    <row r="68" spans="1:4" x14ac:dyDescent="0.2">
      <c r="A68" s="17"/>
      <c r="B68" s="17"/>
      <c r="C68" s="17"/>
      <c r="D68" s="17"/>
    </row>
  </sheetData>
  <sortState xmlns:xlrd2="http://schemas.microsoft.com/office/spreadsheetml/2017/richdata2" ref="A25:N55">
    <sortCondition ref="C26:C55"/>
  </sortState>
  <conditionalFormatting sqref="I26:I56 I5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{EB303FF0-B83F-7449-8A00-26EA3294AD08}</x14:id>
        </ext>
      </extLst>
    </cfRule>
    <cfRule type="cellIs" dxfId="2" priority="4" operator="lessThan">
      <formula>35</formula>
    </cfRule>
    <cfRule type="cellIs" dxfId="1" priority="5" operator="greaterThan">
      <formula>75</formula>
    </cfRule>
  </conditionalFormatting>
  <conditionalFormatting sqref="J26:J56">
    <cfRule type="containsText" dxfId="0" priority="6" operator="containsText" text="fail">
      <formula>NOT(ISERROR(SEARCH("fail",J26)))</formula>
    </cfRule>
  </conditionalFormatting>
  <dataValidations count="2">
    <dataValidation type="list" allowBlank="1" showInputMessage="1" showErrorMessage="1" sqref="X6" xr:uid="{261FADF5-F6D6-D64D-ADA6-04421AF16A26}">
      <formula1>"asc,desc"</formula1>
    </dataValidation>
    <dataValidation type="list" allowBlank="1" showInputMessage="1" showErrorMessage="1" sqref="X8" xr:uid="{BD19E397-04F8-A44F-AB99-3818E52DD1E1}">
      <formula1>$Z$1:$AS$1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303FF0-B83F-7449-8A00-26EA3294AD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I26:I56 I58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EA049-B33C-5B49-B6C5-0775BE784A27}">
  <dimension ref="A1:AQ21"/>
  <sheetViews>
    <sheetView workbookViewId="0">
      <selection activeCell="J20" sqref="A1:T21"/>
    </sheetView>
  </sheetViews>
  <sheetFormatPr baseColWidth="10" defaultRowHeight="16" x14ac:dyDescent="0.2"/>
  <cols>
    <col min="19" max="19" width="12" bestFit="1" customWidth="1"/>
    <col min="20" max="20" width="14.33203125" bestFit="1" customWidth="1"/>
  </cols>
  <sheetData>
    <row r="1" spans="1:43" x14ac:dyDescent="0.2">
      <c r="A1" s="19" t="s">
        <v>44</v>
      </c>
      <c r="B1" s="19" t="s">
        <v>45</v>
      </c>
      <c r="C1" s="19" t="s">
        <v>46</v>
      </c>
      <c r="D1" s="19" t="s">
        <v>47</v>
      </c>
      <c r="E1" s="19" t="s">
        <v>48</v>
      </c>
      <c r="F1" s="19" t="s">
        <v>49</v>
      </c>
      <c r="G1" s="19" t="s">
        <v>50</v>
      </c>
      <c r="H1" s="19" t="s">
        <v>51</v>
      </c>
      <c r="I1" s="19" t="s">
        <v>52</v>
      </c>
      <c r="J1" s="19" t="s">
        <v>53</v>
      </c>
      <c r="K1" s="19" t="s">
        <v>54</v>
      </c>
      <c r="L1" s="19" t="s">
        <v>55</v>
      </c>
      <c r="M1" s="19" t="s">
        <v>56</v>
      </c>
      <c r="N1" s="19" t="s">
        <v>57</v>
      </c>
      <c r="O1" s="19" t="s">
        <v>58</v>
      </c>
      <c r="P1" s="19" t="s">
        <v>59</v>
      </c>
      <c r="Q1" s="19" t="s">
        <v>60</v>
      </c>
      <c r="R1" s="19" t="s">
        <v>61</v>
      </c>
      <c r="S1" s="19" t="s">
        <v>62</v>
      </c>
      <c r="T1" s="19" t="s">
        <v>63</v>
      </c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64</v>
      </c>
      <c r="B2" s="19" t="s">
        <v>65</v>
      </c>
      <c r="C2" s="19" t="s">
        <v>66</v>
      </c>
      <c r="D2" s="19" t="s">
        <v>67</v>
      </c>
      <c r="E2" s="19" t="s">
        <v>68</v>
      </c>
      <c r="F2" s="19" t="s">
        <v>166</v>
      </c>
      <c r="G2" s="20">
        <v>46301</v>
      </c>
      <c r="H2" s="19">
        <v>50000</v>
      </c>
      <c r="I2" s="19">
        <v>62000</v>
      </c>
      <c r="J2" s="19">
        <v>24</v>
      </c>
      <c r="K2" s="19">
        <v>98</v>
      </c>
      <c r="L2" s="19">
        <v>45</v>
      </c>
      <c r="M2" s="19">
        <v>50</v>
      </c>
      <c r="N2" s="19">
        <v>5</v>
      </c>
      <c r="O2" s="19">
        <v>75000</v>
      </c>
      <c r="P2" s="19">
        <v>12000</v>
      </c>
      <c r="Q2" s="19">
        <v>2</v>
      </c>
      <c r="R2" s="19" t="s">
        <v>69</v>
      </c>
      <c r="S2" s="19" t="s">
        <v>70</v>
      </c>
      <c r="T2" s="19" t="s">
        <v>71</v>
      </c>
    </row>
    <row r="3" spans="1:43" x14ac:dyDescent="0.2">
      <c r="A3" s="19" t="s">
        <v>72</v>
      </c>
      <c r="B3" s="19" t="s">
        <v>73</v>
      </c>
      <c r="C3" s="19" t="s">
        <v>74</v>
      </c>
      <c r="D3" s="19" t="s">
        <v>75</v>
      </c>
      <c r="E3" s="20">
        <v>44845</v>
      </c>
      <c r="F3" s="20">
        <v>46300</v>
      </c>
      <c r="G3" s="19" t="s">
        <v>76</v>
      </c>
      <c r="H3" s="19">
        <v>30000</v>
      </c>
      <c r="I3" s="19">
        <v>28000</v>
      </c>
      <c r="J3" s="19">
        <v>-5</v>
      </c>
      <c r="K3" s="19">
        <v>88</v>
      </c>
      <c r="L3" s="19">
        <v>30</v>
      </c>
      <c r="M3" s="19">
        <v>40</v>
      </c>
      <c r="N3" s="19">
        <v>3</v>
      </c>
      <c r="O3" s="19">
        <v>58000</v>
      </c>
      <c r="P3" s="19">
        <v>4000</v>
      </c>
      <c r="Q3" s="19">
        <v>5</v>
      </c>
      <c r="R3" s="19" t="s">
        <v>77</v>
      </c>
      <c r="S3" s="19" t="s">
        <v>78</v>
      </c>
      <c r="T3" s="19" t="s">
        <v>79</v>
      </c>
    </row>
    <row r="4" spans="1:43" x14ac:dyDescent="0.2">
      <c r="A4" s="19" t="s">
        <v>80</v>
      </c>
      <c r="B4" s="19" t="s">
        <v>81</v>
      </c>
      <c r="C4" s="19" t="s">
        <v>82</v>
      </c>
      <c r="D4" s="19" t="s">
        <v>83</v>
      </c>
      <c r="E4" s="19" t="s">
        <v>84</v>
      </c>
      <c r="F4" s="20">
        <v>46027</v>
      </c>
      <c r="G4" s="19" t="s">
        <v>85</v>
      </c>
      <c r="H4" s="19">
        <v>70000</v>
      </c>
      <c r="I4" s="19">
        <v>81000</v>
      </c>
      <c r="J4" s="19">
        <v>30</v>
      </c>
      <c r="K4" s="19">
        <v>73</v>
      </c>
      <c r="L4" s="19">
        <v>60</v>
      </c>
      <c r="M4" s="19">
        <v>65</v>
      </c>
      <c r="N4" s="19">
        <v>5</v>
      </c>
      <c r="O4" s="19">
        <v>98000</v>
      </c>
      <c r="P4" s="19">
        <v>18000</v>
      </c>
      <c r="Q4" s="19">
        <v>1</v>
      </c>
      <c r="R4" s="19" t="s">
        <v>69</v>
      </c>
      <c r="S4" s="19" t="s">
        <v>70</v>
      </c>
      <c r="T4" s="19" t="s">
        <v>86</v>
      </c>
    </row>
    <row r="5" spans="1:43" x14ac:dyDescent="0.2">
      <c r="A5" s="19" t="s">
        <v>87</v>
      </c>
      <c r="B5" s="19" t="s">
        <v>88</v>
      </c>
      <c r="C5" s="19" t="s">
        <v>89</v>
      </c>
      <c r="D5" s="19" t="s">
        <v>90</v>
      </c>
      <c r="E5" s="20">
        <v>45598</v>
      </c>
      <c r="F5" s="19" t="s">
        <v>91</v>
      </c>
      <c r="G5" s="20">
        <v>46028</v>
      </c>
      <c r="H5" s="19">
        <v>45000</v>
      </c>
      <c r="I5" s="19">
        <v>43000</v>
      </c>
      <c r="J5" s="19">
        <v>-2</v>
      </c>
      <c r="K5" s="19">
        <v>76</v>
      </c>
      <c r="L5" s="19">
        <v>25</v>
      </c>
      <c r="M5" s="19">
        <v>45</v>
      </c>
      <c r="N5" s="19">
        <v>2</v>
      </c>
      <c r="O5" s="19">
        <v>67000</v>
      </c>
      <c r="P5" s="19">
        <v>2000</v>
      </c>
      <c r="Q5" s="19">
        <v>8</v>
      </c>
      <c r="R5" s="19" t="s">
        <v>92</v>
      </c>
      <c r="S5" s="19" t="s">
        <v>70</v>
      </c>
      <c r="T5" s="19" t="s">
        <v>93</v>
      </c>
    </row>
    <row r="6" spans="1:43" x14ac:dyDescent="0.2">
      <c r="A6" s="19" t="s">
        <v>94</v>
      </c>
      <c r="B6" s="19" t="s">
        <v>95</v>
      </c>
      <c r="C6" s="19" t="s">
        <v>66</v>
      </c>
      <c r="D6" s="19" t="s">
        <v>67</v>
      </c>
      <c r="E6" s="20">
        <v>43842</v>
      </c>
      <c r="F6" s="19" t="s">
        <v>96</v>
      </c>
      <c r="G6" s="19" t="s">
        <v>97</v>
      </c>
      <c r="H6" s="19">
        <v>55000</v>
      </c>
      <c r="I6" s="19">
        <v>55000</v>
      </c>
      <c r="J6" s="19">
        <v>15</v>
      </c>
      <c r="K6" s="19">
        <v>100</v>
      </c>
      <c r="L6" s="19">
        <v>50</v>
      </c>
      <c r="M6" s="19">
        <v>50</v>
      </c>
      <c r="N6" s="19">
        <v>4</v>
      </c>
      <c r="O6" s="19">
        <v>82000</v>
      </c>
      <c r="P6" s="19">
        <v>10000</v>
      </c>
      <c r="Q6" s="19">
        <v>0</v>
      </c>
      <c r="R6" s="19" t="s">
        <v>69</v>
      </c>
      <c r="S6" s="19" t="s">
        <v>70</v>
      </c>
      <c r="T6" s="19" t="s">
        <v>98</v>
      </c>
    </row>
    <row r="7" spans="1:43" x14ac:dyDescent="0.2">
      <c r="A7" s="19" t="s">
        <v>99</v>
      </c>
      <c r="B7" s="19" t="s">
        <v>100</v>
      </c>
      <c r="C7" s="19" t="s">
        <v>101</v>
      </c>
      <c r="D7" s="19" t="s">
        <v>75</v>
      </c>
      <c r="E7" s="19" t="s">
        <v>102</v>
      </c>
      <c r="F7" s="19" t="s">
        <v>167</v>
      </c>
      <c r="G7" s="19" t="s">
        <v>103</v>
      </c>
      <c r="H7" s="19">
        <v>40000</v>
      </c>
      <c r="I7" s="19">
        <v>35000</v>
      </c>
      <c r="J7" s="19">
        <v>-10</v>
      </c>
      <c r="K7" s="19">
        <v>82</v>
      </c>
      <c r="L7" s="19">
        <v>28</v>
      </c>
      <c r="M7" s="19">
        <v>50</v>
      </c>
      <c r="N7" s="19">
        <v>2</v>
      </c>
      <c r="O7" s="19">
        <v>61000</v>
      </c>
      <c r="P7" s="19">
        <v>1000</v>
      </c>
      <c r="Q7" s="19">
        <v>7</v>
      </c>
      <c r="R7" s="19" t="s">
        <v>77</v>
      </c>
      <c r="S7" s="19" t="s">
        <v>78</v>
      </c>
      <c r="T7" s="19" t="s">
        <v>104</v>
      </c>
    </row>
    <row r="8" spans="1:43" x14ac:dyDescent="0.2">
      <c r="A8" s="19" t="s">
        <v>105</v>
      </c>
      <c r="B8" s="19" t="s">
        <v>106</v>
      </c>
      <c r="C8" s="19" t="s">
        <v>82</v>
      </c>
      <c r="D8" s="19" t="s">
        <v>83</v>
      </c>
      <c r="E8" s="19" t="s">
        <v>107</v>
      </c>
      <c r="F8" s="19" t="s">
        <v>108</v>
      </c>
      <c r="G8" s="20">
        <v>46148</v>
      </c>
      <c r="H8" s="19">
        <v>72000</v>
      </c>
      <c r="I8" s="19">
        <v>92000</v>
      </c>
      <c r="J8" s="19">
        <v>35</v>
      </c>
      <c r="K8" s="19">
        <v>96</v>
      </c>
      <c r="L8" s="19">
        <v>66</v>
      </c>
      <c r="M8" s="19">
        <v>70</v>
      </c>
      <c r="N8" s="19">
        <v>5</v>
      </c>
      <c r="O8" s="19">
        <v>110000</v>
      </c>
      <c r="P8" s="19">
        <v>25000</v>
      </c>
      <c r="Q8" s="19">
        <v>1</v>
      </c>
      <c r="R8" s="19" t="s">
        <v>69</v>
      </c>
      <c r="S8" s="19" t="s">
        <v>70</v>
      </c>
      <c r="T8" s="19" t="s">
        <v>109</v>
      </c>
    </row>
    <row r="9" spans="1:43" x14ac:dyDescent="0.2">
      <c r="A9" s="19" t="s">
        <v>110</v>
      </c>
      <c r="B9" s="19" t="s">
        <v>111</v>
      </c>
      <c r="C9" s="19" t="s">
        <v>89</v>
      </c>
      <c r="D9" s="19" t="s">
        <v>90</v>
      </c>
      <c r="E9" s="19" t="s">
        <v>112</v>
      </c>
      <c r="F9" s="20">
        <v>46331</v>
      </c>
      <c r="G9" s="19" t="s">
        <v>96</v>
      </c>
      <c r="H9" s="19">
        <v>38000</v>
      </c>
      <c r="I9" s="19">
        <v>22000</v>
      </c>
      <c r="J9" s="19">
        <v>-18</v>
      </c>
      <c r="K9" s="19">
        <v>68</v>
      </c>
      <c r="L9" s="19">
        <v>15</v>
      </c>
      <c r="M9" s="19">
        <v>40</v>
      </c>
      <c r="N9" s="19">
        <v>1</v>
      </c>
      <c r="O9" s="19">
        <v>54000</v>
      </c>
      <c r="P9" s="19">
        <v>0</v>
      </c>
      <c r="Q9" s="19">
        <v>12</v>
      </c>
      <c r="R9" s="19" t="s">
        <v>92</v>
      </c>
      <c r="S9" s="19" t="s">
        <v>78</v>
      </c>
      <c r="T9" s="19" t="s">
        <v>113</v>
      </c>
    </row>
    <row r="10" spans="1:43" x14ac:dyDescent="0.2">
      <c r="A10" s="19" t="s">
        <v>114</v>
      </c>
      <c r="B10" s="19" t="s">
        <v>115</v>
      </c>
      <c r="C10" s="19" t="s">
        <v>74</v>
      </c>
      <c r="D10" s="19" t="s">
        <v>75</v>
      </c>
      <c r="E10" s="20">
        <v>45536</v>
      </c>
      <c r="F10" s="19" t="s">
        <v>168</v>
      </c>
      <c r="G10" s="20">
        <v>46362</v>
      </c>
      <c r="H10" s="19">
        <v>31000</v>
      </c>
      <c r="I10" s="19">
        <v>30000</v>
      </c>
      <c r="J10" s="19">
        <v>4</v>
      </c>
      <c r="K10" s="19">
        <v>91</v>
      </c>
      <c r="L10" s="19">
        <v>38</v>
      </c>
      <c r="M10" s="19">
        <v>42</v>
      </c>
      <c r="N10" s="19">
        <v>4</v>
      </c>
      <c r="O10" s="19">
        <v>60000</v>
      </c>
      <c r="P10" s="19">
        <v>3500</v>
      </c>
      <c r="Q10" s="19">
        <v>3</v>
      </c>
      <c r="R10" s="19" t="s">
        <v>69</v>
      </c>
      <c r="S10" s="19" t="s">
        <v>70</v>
      </c>
      <c r="T10" s="19" t="s">
        <v>116</v>
      </c>
    </row>
    <row r="11" spans="1:43" x14ac:dyDescent="0.2">
      <c r="A11" s="19" t="s">
        <v>117</v>
      </c>
      <c r="B11" s="19" t="s">
        <v>118</v>
      </c>
      <c r="C11" s="19" t="s">
        <v>101</v>
      </c>
      <c r="D11" s="19" t="s">
        <v>67</v>
      </c>
      <c r="E11" s="19" t="s">
        <v>119</v>
      </c>
      <c r="F11" s="20">
        <v>46086</v>
      </c>
      <c r="G11" s="19" t="s">
        <v>120</v>
      </c>
      <c r="H11" s="19">
        <v>48000</v>
      </c>
      <c r="I11" s="19">
        <v>51000</v>
      </c>
      <c r="J11" s="19">
        <v>12</v>
      </c>
      <c r="K11" s="19">
        <v>94</v>
      </c>
      <c r="L11" s="19">
        <v>41</v>
      </c>
      <c r="M11" s="19">
        <v>45</v>
      </c>
      <c r="N11" s="19">
        <v>4</v>
      </c>
      <c r="O11" s="19">
        <v>72000</v>
      </c>
      <c r="P11" s="19">
        <v>8500</v>
      </c>
      <c r="Q11" s="19">
        <v>2</v>
      </c>
      <c r="R11" s="19" t="s">
        <v>69</v>
      </c>
      <c r="S11" s="19" t="s">
        <v>70</v>
      </c>
      <c r="T11" s="19" t="s">
        <v>93</v>
      </c>
    </row>
    <row r="12" spans="1:43" x14ac:dyDescent="0.2">
      <c r="A12" s="19" t="s">
        <v>121</v>
      </c>
      <c r="B12" s="19" t="s">
        <v>122</v>
      </c>
      <c r="C12" s="19" t="s">
        <v>66</v>
      </c>
      <c r="D12" s="19" t="s">
        <v>83</v>
      </c>
      <c r="E12" s="20">
        <v>45264</v>
      </c>
      <c r="F12" s="20">
        <v>46239</v>
      </c>
      <c r="G12" s="20">
        <v>46087</v>
      </c>
      <c r="H12" s="19">
        <v>53000</v>
      </c>
      <c r="I12" s="19">
        <v>49000</v>
      </c>
      <c r="J12" s="19">
        <v>-4</v>
      </c>
      <c r="K12" s="19">
        <v>73</v>
      </c>
      <c r="L12" s="19">
        <v>20</v>
      </c>
      <c r="M12" s="19">
        <v>35</v>
      </c>
      <c r="N12" s="19">
        <v>2</v>
      </c>
      <c r="O12" s="19">
        <v>69000</v>
      </c>
      <c r="P12" s="19">
        <v>1500</v>
      </c>
      <c r="Q12" s="19">
        <v>10</v>
      </c>
      <c r="R12" s="19" t="s">
        <v>77</v>
      </c>
      <c r="S12" s="19" t="s">
        <v>78</v>
      </c>
      <c r="T12" s="19" t="s">
        <v>123</v>
      </c>
    </row>
    <row r="13" spans="1:43" x14ac:dyDescent="0.2">
      <c r="A13" s="19" t="s">
        <v>124</v>
      </c>
      <c r="B13" s="19" t="s">
        <v>125</v>
      </c>
      <c r="C13" s="19" t="s">
        <v>82</v>
      </c>
      <c r="D13" s="19" t="s">
        <v>90</v>
      </c>
      <c r="E13" s="19" t="s">
        <v>126</v>
      </c>
      <c r="F13" s="19" t="s">
        <v>127</v>
      </c>
      <c r="G13" s="19" t="s">
        <v>128</v>
      </c>
      <c r="H13" s="19">
        <v>85000</v>
      </c>
      <c r="I13" s="19">
        <v>99000</v>
      </c>
      <c r="J13" s="19">
        <v>40</v>
      </c>
      <c r="K13" s="19">
        <v>99</v>
      </c>
      <c r="L13" s="19">
        <v>75</v>
      </c>
      <c r="M13" s="19">
        <v>80</v>
      </c>
      <c r="N13" s="19">
        <v>5</v>
      </c>
      <c r="O13" s="19">
        <v>125000</v>
      </c>
      <c r="P13" s="19">
        <v>30000</v>
      </c>
      <c r="Q13" s="19">
        <v>0</v>
      </c>
      <c r="R13" s="19" t="s">
        <v>69</v>
      </c>
      <c r="S13" s="19" t="s">
        <v>70</v>
      </c>
      <c r="T13" s="19" t="s">
        <v>129</v>
      </c>
    </row>
    <row r="14" spans="1:43" x14ac:dyDescent="0.2">
      <c r="A14" s="19" t="s">
        <v>130</v>
      </c>
      <c r="B14" s="19" t="s">
        <v>131</v>
      </c>
      <c r="C14" s="19" t="s">
        <v>89</v>
      </c>
      <c r="D14" s="19" t="s">
        <v>75</v>
      </c>
      <c r="E14" s="19" t="s">
        <v>132</v>
      </c>
      <c r="F14" s="20">
        <v>46058</v>
      </c>
      <c r="G14" s="19" t="s">
        <v>108</v>
      </c>
      <c r="H14" s="19">
        <v>41000</v>
      </c>
      <c r="I14" s="19">
        <v>39000</v>
      </c>
      <c r="J14" s="19">
        <v>-3</v>
      </c>
      <c r="K14" s="19">
        <v>84</v>
      </c>
      <c r="L14" s="19">
        <v>29</v>
      </c>
      <c r="M14" s="19">
        <v>38</v>
      </c>
      <c r="N14" s="19">
        <v>3</v>
      </c>
      <c r="O14" s="19">
        <v>64000</v>
      </c>
      <c r="P14" s="19">
        <v>2500</v>
      </c>
      <c r="Q14" s="19">
        <v>6</v>
      </c>
      <c r="R14" s="19" t="s">
        <v>92</v>
      </c>
      <c r="S14" s="19" t="s">
        <v>70</v>
      </c>
      <c r="T14" s="19" t="s">
        <v>133</v>
      </c>
    </row>
    <row r="15" spans="1:43" x14ac:dyDescent="0.2">
      <c r="A15" s="19" t="s">
        <v>134</v>
      </c>
      <c r="B15" s="19" t="s">
        <v>135</v>
      </c>
      <c r="C15" s="19" t="s">
        <v>74</v>
      </c>
      <c r="D15" s="19" t="s">
        <v>83</v>
      </c>
      <c r="E15" s="19" t="s">
        <v>136</v>
      </c>
      <c r="F15" s="19" t="s">
        <v>137</v>
      </c>
      <c r="G15" s="19" t="s">
        <v>138</v>
      </c>
      <c r="H15" s="19">
        <v>36000</v>
      </c>
      <c r="I15" s="19">
        <v>47000</v>
      </c>
      <c r="J15" s="19">
        <v>22</v>
      </c>
      <c r="K15" s="19">
        <v>96</v>
      </c>
      <c r="L15" s="19">
        <v>44</v>
      </c>
      <c r="M15" s="19">
        <v>48</v>
      </c>
      <c r="N15" s="19">
        <v>5</v>
      </c>
      <c r="O15" s="19">
        <v>71000</v>
      </c>
      <c r="P15" s="19">
        <v>9500</v>
      </c>
      <c r="Q15" s="19">
        <v>1</v>
      </c>
      <c r="R15" s="19" t="s">
        <v>69</v>
      </c>
      <c r="S15" s="19" t="s">
        <v>70</v>
      </c>
      <c r="T15" s="19" t="s">
        <v>71</v>
      </c>
    </row>
    <row r="16" spans="1:43" x14ac:dyDescent="0.2">
      <c r="A16" s="19" t="s">
        <v>139</v>
      </c>
      <c r="B16" s="19" t="s">
        <v>140</v>
      </c>
      <c r="C16" s="19" t="s">
        <v>101</v>
      </c>
      <c r="D16" s="19" t="s">
        <v>67</v>
      </c>
      <c r="E16" s="20">
        <v>44997</v>
      </c>
      <c r="F16" s="19" t="s">
        <v>141</v>
      </c>
      <c r="G16" s="19" t="s">
        <v>85</v>
      </c>
      <c r="H16" s="19">
        <v>50000</v>
      </c>
      <c r="I16" s="19">
        <v>32000</v>
      </c>
      <c r="J16" s="19">
        <v>-15</v>
      </c>
      <c r="K16" s="19">
        <v>65</v>
      </c>
      <c r="L16" s="19">
        <v>18</v>
      </c>
      <c r="M16" s="19">
        <v>50</v>
      </c>
      <c r="N16" s="19">
        <v>1</v>
      </c>
      <c r="O16" s="19">
        <v>59000</v>
      </c>
      <c r="P16" s="19">
        <v>500</v>
      </c>
      <c r="Q16" s="19">
        <v>15</v>
      </c>
      <c r="R16" s="19" t="s">
        <v>77</v>
      </c>
      <c r="S16" s="19" t="s">
        <v>78</v>
      </c>
      <c r="T16" s="19" t="s">
        <v>142</v>
      </c>
    </row>
    <row r="17" spans="1:20" x14ac:dyDescent="0.2">
      <c r="A17" s="19" t="s">
        <v>143</v>
      </c>
      <c r="B17" s="19" t="s">
        <v>144</v>
      </c>
      <c r="C17" s="19" t="s">
        <v>82</v>
      </c>
      <c r="D17" s="19" t="s">
        <v>90</v>
      </c>
      <c r="E17" s="20">
        <v>44511</v>
      </c>
      <c r="F17" s="19" t="s">
        <v>96</v>
      </c>
      <c r="G17" s="20">
        <v>46240</v>
      </c>
      <c r="H17" s="19">
        <v>78000</v>
      </c>
      <c r="I17" s="19">
        <v>80000</v>
      </c>
      <c r="J17" s="19">
        <v>18</v>
      </c>
      <c r="K17" s="19">
        <v>93</v>
      </c>
      <c r="L17" s="19">
        <v>58</v>
      </c>
      <c r="M17" s="19">
        <v>60</v>
      </c>
      <c r="N17" s="19">
        <v>4</v>
      </c>
      <c r="O17" s="19">
        <v>102000</v>
      </c>
      <c r="P17" s="19">
        <v>14000</v>
      </c>
      <c r="Q17" s="19">
        <v>2</v>
      </c>
      <c r="R17" s="19" t="s">
        <v>69</v>
      </c>
      <c r="S17" s="19" t="s">
        <v>70</v>
      </c>
      <c r="T17" s="19" t="s">
        <v>145</v>
      </c>
    </row>
    <row r="18" spans="1:20" x14ac:dyDescent="0.2">
      <c r="A18" s="19" t="s">
        <v>146</v>
      </c>
      <c r="B18" s="19" t="s">
        <v>147</v>
      </c>
      <c r="C18" s="19" t="s">
        <v>66</v>
      </c>
      <c r="D18" s="19" t="s">
        <v>75</v>
      </c>
      <c r="E18" s="20">
        <v>44050</v>
      </c>
      <c r="F18" s="19" t="s">
        <v>148</v>
      </c>
      <c r="G18" s="20">
        <v>46059</v>
      </c>
      <c r="H18" s="19">
        <v>61000</v>
      </c>
      <c r="I18" s="19">
        <v>61000</v>
      </c>
      <c r="J18" s="19">
        <v>10</v>
      </c>
      <c r="K18" s="19">
        <v>89</v>
      </c>
      <c r="L18" s="19">
        <v>40</v>
      </c>
      <c r="M18" s="19">
        <v>45</v>
      </c>
      <c r="N18" s="19">
        <v>4</v>
      </c>
      <c r="O18" s="19">
        <v>86000</v>
      </c>
      <c r="P18" s="19">
        <v>11000</v>
      </c>
      <c r="Q18" s="19">
        <v>4</v>
      </c>
      <c r="R18" s="19" t="s">
        <v>69</v>
      </c>
      <c r="S18" s="19" t="s">
        <v>70</v>
      </c>
      <c r="T18" s="19" t="s">
        <v>149</v>
      </c>
    </row>
    <row r="19" spans="1:20" x14ac:dyDescent="0.2">
      <c r="A19" s="19" t="s">
        <v>150</v>
      </c>
      <c r="B19" s="19" t="s">
        <v>151</v>
      </c>
      <c r="C19" s="19" t="s">
        <v>89</v>
      </c>
      <c r="D19" s="19" t="s">
        <v>83</v>
      </c>
      <c r="E19" s="19" t="s">
        <v>152</v>
      </c>
      <c r="F19" s="20">
        <v>46147</v>
      </c>
      <c r="G19" s="19" t="s">
        <v>97</v>
      </c>
      <c r="H19" s="19">
        <v>39000</v>
      </c>
      <c r="I19" s="19">
        <v>18000</v>
      </c>
      <c r="J19" s="19">
        <v>-25</v>
      </c>
      <c r="K19" s="19">
        <v>58</v>
      </c>
      <c r="L19" s="19">
        <v>10</v>
      </c>
      <c r="M19" s="19">
        <v>35</v>
      </c>
      <c r="N19" s="19">
        <v>1</v>
      </c>
      <c r="O19" s="19">
        <v>52000</v>
      </c>
      <c r="P19" s="19">
        <v>0</v>
      </c>
      <c r="Q19" s="19">
        <v>18</v>
      </c>
      <c r="R19" s="19" t="s">
        <v>92</v>
      </c>
      <c r="S19" s="19" t="s">
        <v>78</v>
      </c>
      <c r="T19" s="19" t="s">
        <v>153</v>
      </c>
    </row>
    <row r="20" spans="1:20" x14ac:dyDescent="0.2">
      <c r="A20" s="19" t="s">
        <v>154</v>
      </c>
      <c r="B20" s="19" t="s">
        <v>155</v>
      </c>
      <c r="C20" s="19" t="s">
        <v>74</v>
      </c>
      <c r="D20" s="19" t="s">
        <v>67</v>
      </c>
      <c r="E20" s="19" t="s">
        <v>156</v>
      </c>
      <c r="F20" s="19" t="s">
        <v>157</v>
      </c>
      <c r="G20" s="19" t="s">
        <v>158</v>
      </c>
      <c r="H20" s="19">
        <v>34000</v>
      </c>
      <c r="I20" s="19">
        <v>36000</v>
      </c>
      <c r="J20" s="19">
        <v>8</v>
      </c>
      <c r="K20" s="19">
        <v>92</v>
      </c>
      <c r="L20" s="19">
        <v>39</v>
      </c>
      <c r="M20" s="19">
        <v>40</v>
      </c>
      <c r="N20" s="19">
        <v>4</v>
      </c>
      <c r="O20" s="19">
        <v>63000</v>
      </c>
      <c r="P20" s="19">
        <v>4200</v>
      </c>
      <c r="Q20" s="19">
        <v>2</v>
      </c>
      <c r="R20" s="19" t="s">
        <v>69</v>
      </c>
      <c r="S20" s="19" t="s">
        <v>70</v>
      </c>
      <c r="T20" s="19" t="s">
        <v>159</v>
      </c>
    </row>
    <row r="21" spans="1:20" x14ac:dyDescent="0.2">
      <c r="A21" s="19" t="s">
        <v>160</v>
      </c>
      <c r="B21" s="19" t="s">
        <v>161</v>
      </c>
      <c r="C21" s="19" t="s">
        <v>101</v>
      </c>
      <c r="D21" s="19" t="s">
        <v>90</v>
      </c>
      <c r="E21" s="19" t="s">
        <v>162</v>
      </c>
      <c r="F21" s="20">
        <v>46361</v>
      </c>
      <c r="G21" s="19" t="s">
        <v>96</v>
      </c>
      <c r="H21" s="19">
        <v>46000</v>
      </c>
      <c r="I21" s="19">
        <v>60000</v>
      </c>
      <c r="J21" s="19">
        <v>28</v>
      </c>
      <c r="K21" s="19">
        <v>97</v>
      </c>
      <c r="L21" s="19">
        <v>52</v>
      </c>
      <c r="M21" s="19">
        <v>55</v>
      </c>
      <c r="N21" s="19">
        <v>5</v>
      </c>
      <c r="O21" s="19">
        <v>88000</v>
      </c>
      <c r="P21" s="19">
        <v>16000</v>
      </c>
      <c r="Q21" s="19">
        <v>1</v>
      </c>
      <c r="R21" s="19" t="s">
        <v>69</v>
      </c>
      <c r="S21" s="19" t="s">
        <v>70</v>
      </c>
      <c r="T21" s="19" t="s">
        <v>163</v>
      </c>
    </row>
  </sheetData>
  <dataValidations count="3">
    <dataValidation allowBlank="1" showInputMessage="1" showErrorMessage="1" promptTitle="enter number" prompt="this should be 10 digits_x000a_" sqref="V1:V3 V6:V1048576" xr:uid="{5065305A-035A-0D4F-ACF3-8095CA9843F8}"/>
    <dataValidation type="list" allowBlank="1" showInputMessage="1" showErrorMessage="1" promptTitle="enter number" prompt="this should be 10 digits_x000a_" sqref="V4" xr:uid="{E0A720BB-088C-4A49-92E1-35C793448750}">
      <formula1>$X$1:$AQ$1</formula1>
    </dataValidation>
    <dataValidation type="list" allowBlank="1" showInputMessage="1" showErrorMessage="1" promptTitle="enter number" prompt="this should be 10 digits_x000a_" sqref="V5" xr:uid="{025F99CF-D912-784E-9294-CF6BB8D7401A}">
      <formula1>"1,-1"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1B9E-4A9C-CF4B-AA4A-F02C094F04A0}">
  <dimension ref="A1:AQ21"/>
  <sheetViews>
    <sheetView topLeftCell="I1" zoomScale="167" workbookViewId="0">
      <selection activeCell="L1" sqref="L1:S7"/>
    </sheetView>
  </sheetViews>
  <sheetFormatPr baseColWidth="10" defaultRowHeight="16" x14ac:dyDescent="0.2"/>
  <cols>
    <col min="5" max="5" width="11.1640625" bestFit="1" customWidth="1"/>
  </cols>
  <sheetData>
    <row r="1" spans="1:43" x14ac:dyDescent="0.2">
      <c r="A1" s="19" t="s">
        <v>19</v>
      </c>
      <c r="B1" s="19" t="s">
        <v>245</v>
      </c>
      <c r="C1" s="19" t="s">
        <v>246</v>
      </c>
      <c r="D1" s="19" t="s">
        <v>247</v>
      </c>
      <c r="E1" s="19" t="s">
        <v>255</v>
      </c>
      <c r="F1" s="19" t="s">
        <v>256</v>
      </c>
      <c r="G1" s="19" t="s">
        <v>257</v>
      </c>
      <c r="H1" s="19"/>
      <c r="I1" s="19"/>
      <c r="J1" s="19"/>
      <c r="K1" s="19"/>
      <c r="L1" s="31" t="s">
        <v>444</v>
      </c>
      <c r="M1" s="31"/>
      <c r="N1" s="31"/>
      <c r="O1" s="31"/>
      <c r="P1" s="31"/>
      <c r="Q1" s="19"/>
      <c r="R1" s="19"/>
      <c r="S1" s="19"/>
      <c r="T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248</v>
      </c>
      <c r="B2" s="19" t="s">
        <v>253</v>
      </c>
      <c r="C2" s="19">
        <v>19</v>
      </c>
      <c r="D2" s="19">
        <v>15000</v>
      </c>
      <c r="E2" s="19">
        <v>1234567890</v>
      </c>
      <c r="F2" s="20">
        <v>46174</v>
      </c>
      <c r="G2" s="21">
        <v>0.375</v>
      </c>
      <c r="H2" s="19"/>
      <c r="I2" s="19"/>
      <c r="J2" s="19"/>
      <c r="K2" s="19"/>
      <c r="L2" s="25" t="s">
        <v>445</v>
      </c>
      <c r="M2" s="25" t="s">
        <v>446</v>
      </c>
      <c r="N2" s="25" t="s">
        <v>447</v>
      </c>
      <c r="O2" s="25" t="s">
        <v>448</v>
      </c>
      <c r="P2" s="25" t="s">
        <v>449</v>
      </c>
      <c r="Q2" s="19"/>
      <c r="R2" s="19" t="s">
        <v>445</v>
      </c>
      <c r="S2" s="19" t="s">
        <v>454</v>
      </c>
      <c r="T2" s="19"/>
    </row>
    <row r="3" spans="1:43" x14ac:dyDescent="0.2">
      <c r="A3" s="19" t="s">
        <v>249</v>
      </c>
      <c r="B3" s="19" t="s">
        <v>253</v>
      </c>
      <c r="C3" s="19">
        <v>18</v>
      </c>
      <c r="D3" s="19">
        <v>15000</v>
      </c>
      <c r="E3" s="19">
        <v>1234567890</v>
      </c>
      <c r="F3" s="20">
        <v>46175</v>
      </c>
      <c r="G3" s="21">
        <v>0.41666666666666702</v>
      </c>
      <c r="H3" s="19"/>
      <c r="I3" s="19"/>
      <c r="J3" s="19"/>
      <c r="K3" s="19"/>
      <c r="L3" t="s">
        <v>0</v>
      </c>
      <c r="M3" t="s">
        <v>450</v>
      </c>
      <c r="N3" t="s">
        <v>451</v>
      </c>
      <c r="O3" t="s">
        <v>452</v>
      </c>
      <c r="P3" t="s">
        <v>453</v>
      </c>
      <c r="Q3" s="19"/>
      <c r="R3" s="19"/>
      <c r="S3" s="19"/>
      <c r="T3" s="19"/>
    </row>
    <row r="4" spans="1:43" x14ac:dyDescent="0.2">
      <c r="A4" s="19" t="s">
        <v>250</v>
      </c>
      <c r="B4" s="19" t="s">
        <v>254</v>
      </c>
      <c r="C4" s="19">
        <v>89</v>
      </c>
      <c r="D4" s="19">
        <v>15000</v>
      </c>
      <c r="E4" s="19">
        <v>8369611161</v>
      </c>
      <c r="F4" s="20">
        <v>46176</v>
      </c>
      <c r="G4" s="21">
        <v>0.45833333333333298</v>
      </c>
      <c r="H4" s="19"/>
      <c r="I4" s="19"/>
      <c r="J4" s="19"/>
      <c r="K4" s="19"/>
      <c r="L4" t="s">
        <v>1</v>
      </c>
      <c r="M4" t="s">
        <v>451</v>
      </c>
      <c r="N4" t="s">
        <v>452</v>
      </c>
      <c r="O4" t="s">
        <v>453</v>
      </c>
      <c r="P4" t="s">
        <v>450</v>
      </c>
      <c r="Q4" s="19"/>
      <c r="R4" s="19"/>
      <c r="S4" s="19"/>
      <c r="T4" s="19"/>
    </row>
    <row r="5" spans="1:43" x14ac:dyDescent="0.2">
      <c r="A5" s="19" t="s">
        <v>251</v>
      </c>
      <c r="B5" s="19" t="s">
        <v>253</v>
      </c>
      <c r="C5" s="19">
        <v>19</v>
      </c>
      <c r="D5" s="19">
        <v>15000</v>
      </c>
      <c r="E5" s="19">
        <v>1234567890</v>
      </c>
      <c r="F5" s="20">
        <v>46177</v>
      </c>
      <c r="G5" s="21">
        <v>0.5</v>
      </c>
      <c r="H5" s="19"/>
      <c r="I5" s="19"/>
      <c r="J5" s="19"/>
      <c r="K5" s="19"/>
      <c r="L5" t="s">
        <v>2</v>
      </c>
      <c r="M5" t="s">
        <v>452</v>
      </c>
      <c r="N5" t="s">
        <v>450</v>
      </c>
      <c r="O5" t="s">
        <v>451</v>
      </c>
      <c r="P5" t="s">
        <v>453</v>
      </c>
      <c r="Q5" s="19"/>
      <c r="R5" s="19"/>
      <c r="S5" s="19"/>
      <c r="T5" s="19"/>
    </row>
    <row r="6" spans="1:43" x14ac:dyDescent="0.2">
      <c r="A6" s="19" t="s">
        <v>252</v>
      </c>
      <c r="B6" s="19" t="s">
        <v>254</v>
      </c>
      <c r="C6" s="19">
        <v>25</v>
      </c>
      <c r="D6" s="19">
        <v>15000</v>
      </c>
      <c r="E6" s="19">
        <v>1234567890</v>
      </c>
      <c r="F6" s="20">
        <v>46178</v>
      </c>
      <c r="G6" s="21">
        <v>0.54166666666666696</v>
      </c>
      <c r="H6" s="19"/>
      <c r="I6" s="19"/>
      <c r="J6" s="19"/>
      <c r="K6" s="19"/>
      <c r="L6" t="s">
        <v>3</v>
      </c>
      <c r="M6" t="s">
        <v>453</v>
      </c>
      <c r="N6" t="s">
        <v>451</v>
      </c>
      <c r="O6" t="s">
        <v>450</v>
      </c>
      <c r="P6" t="s">
        <v>452</v>
      </c>
      <c r="Q6" s="19"/>
      <c r="R6" s="19"/>
      <c r="S6" s="19"/>
      <c r="T6" s="19"/>
    </row>
    <row r="7" spans="1:43" x14ac:dyDescent="0.2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t="s">
        <v>4</v>
      </c>
      <c r="M7" t="s">
        <v>450</v>
      </c>
      <c r="N7" t="s">
        <v>453</v>
      </c>
      <c r="O7" t="s">
        <v>452</v>
      </c>
      <c r="P7" t="s">
        <v>451</v>
      </c>
      <c r="Q7" s="19"/>
      <c r="R7" s="19"/>
      <c r="S7" s="19"/>
      <c r="T7" s="19"/>
    </row>
    <row r="8" spans="1:43" x14ac:dyDescent="0.2">
      <c r="A8" s="19"/>
      <c r="B8" s="19"/>
      <c r="C8" s="19"/>
      <c r="D8" s="19"/>
      <c r="E8" s="19"/>
      <c r="F8" s="19"/>
      <c r="G8" s="20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</row>
    <row r="9" spans="1:43" x14ac:dyDescent="0.2">
      <c r="A9" s="19"/>
      <c r="B9" s="19"/>
      <c r="C9" s="19"/>
      <c r="D9" s="19"/>
      <c r="E9" s="19"/>
      <c r="F9" s="20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</row>
    <row r="10" spans="1:43" x14ac:dyDescent="0.2">
      <c r="A10" s="19"/>
      <c r="B10" s="19"/>
      <c r="C10" s="19"/>
      <c r="D10" s="19"/>
      <c r="E10" s="20"/>
      <c r="F10" s="19"/>
      <c r="G10" s="20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</row>
    <row r="11" spans="1:43" x14ac:dyDescent="0.2">
      <c r="A11" s="19"/>
      <c r="B11" s="19"/>
      <c r="C11" s="19"/>
      <c r="D11" s="19"/>
      <c r="E11" s="19"/>
      <c r="F11" s="20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</row>
    <row r="12" spans="1:43" x14ac:dyDescent="0.2">
      <c r="A12" s="19"/>
      <c r="B12" s="19"/>
      <c r="C12" s="19"/>
      <c r="D12" s="19"/>
      <c r="E12" s="20"/>
      <c r="F12" s="20"/>
      <c r="G12" s="20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spans="1:43" x14ac:dyDescent="0.2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spans="1:43" x14ac:dyDescent="0.2">
      <c r="A14" s="19"/>
      <c r="B14" s="19"/>
      <c r="C14" s="19"/>
      <c r="D14" s="19"/>
      <c r="E14" s="19"/>
      <c r="F14" s="20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43" x14ac:dyDescent="0.2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43" x14ac:dyDescent="0.2">
      <c r="A16" s="19"/>
      <c r="B16" s="19"/>
      <c r="C16" s="19"/>
      <c r="D16" s="19"/>
      <c r="E16" s="2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0" x14ac:dyDescent="0.2">
      <c r="A17" s="19"/>
      <c r="B17" s="19"/>
      <c r="C17" s="19"/>
      <c r="D17" s="19"/>
      <c r="E17" s="20"/>
      <c r="F17" s="19"/>
      <c r="G17" s="20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s="19"/>
      <c r="B18" s="19"/>
      <c r="C18" s="19"/>
      <c r="D18" s="19"/>
      <c r="E18" s="20"/>
      <c r="F18" s="19"/>
      <c r="G18" s="20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0" x14ac:dyDescent="0.2">
      <c r="A19" s="19"/>
      <c r="B19" s="19"/>
      <c r="C19" s="19"/>
      <c r="D19" s="19"/>
      <c r="E19" s="19"/>
      <c r="F19" s="20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</row>
    <row r="21" spans="1:20" x14ac:dyDescent="0.2">
      <c r="A21" s="19"/>
      <c r="B21" s="19"/>
      <c r="C21" s="19"/>
      <c r="D21" s="19"/>
      <c r="E21" s="19"/>
      <c r="F21" s="20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</row>
  </sheetData>
  <mergeCells count="1">
    <mergeCell ref="L1:P1"/>
  </mergeCells>
  <dataValidations count="7">
    <dataValidation type="list" allowBlank="1" showInputMessage="1" showErrorMessage="1" sqref="B3:B6" xr:uid="{6DD40641-BB6F-3E46-85B0-BCEA984D5C42}">
      <formula1>"Male,Female,Trans "</formula1>
    </dataValidation>
    <dataValidation type="list" allowBlank="1" showInputMessage="1" showErrorMessage="1" errorTitle="Enter the correct gender " sqref="B2" xr:uid="{82B9E1BC-F095-C146-8E44-811B4BF96A04}">
      <formula1>"Male,Female,Trans "</formula1>
    </dataValidation>
    <dataValidation type="whole" operator="greaterThanOrEqual" allowBlank="1" showInputMessage="1" showErrorMessage="1" errorTitle="You should be 18 years about " sqref="C1:C1048576" xr:uid="{BD3E189A-3E35-504C-8F90-714A090BA6C2}">
      <formula1>18</formula1>
    </dataValidation>
    <dataValidation type="decimal" errorStyle="warning" allowBlank="1" showInputMessage="1" showErrorMessage="1" errorTitle="Input salary in between 15k-45k" sqref="D1:D1048576" xr:uid="{C08CCAFB-5502-A24A-82F5-1D4CD08CBBEB}">
      <formula1>15000</formula1>
      <formula2>45000</formula2>
    </dataValidation>
    <dataValidation type="textLength" operator="equal" allowBlank="1" showInputMessage="1" showErrorMessage="1" sqref="E1:E1048576" xr:uid="{004DB829-E0C4-6349-8BB4-62D97890A218}">
      <formula1>10</formula1>
    </dataValidation>
    <dataValidation type="date" allowBlank="1" showInputMessage="1" showErrorMessage="1" sqref="F2:F6" xr:uid="{5CFF304B-44F0-8D44-8212-D6D2A3798FA2}">
      <formula1>46174</formula1>
      <formula2>46193</formula2>
    </dataValidation>
    <dataValidation type="time" allowBlank="1" showInputMessage="1" showErrorMessage="1" sqref="G1:G1048576" xr:uid="{74256FFB-DD23-2F42-BB6D-59B7EAA04E9E}">
      <formula1>0.25</formula1>
      <formula2>0.75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DB25A-A00B-0642-9460-DEBD7524480C}">
  <dimension ref="A1:W28"/>
  <sheetViews>
    <sheetView topLeftCell="A19" zoomScale="107" workbookViewId="0">
      <selection activeCell="M29" sqref="M29"/>
    </sheetView>
  </sheetViews>
  <sheetFormatPr baseColWidth="10" defaultRowHeight="16" x14ac:dyDescent="0.2"/>
  <cols>
    <col min="12" max="12" width="46.83203125" bestFit="1" customWidth="1"/>
  </cols>
  <sheetData>
    <row r="1" spans="1:2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K2" s="19"/>
      <c r="L2" t="s">
        <v>308</v>
      </c>
      <c r="M2" s="19">
        <f>SUMIF(C2:C21,"Sales",H2:H21)</f>
        <v>34500</v>
      </c>
      <c r="N2" s="19"/>
      <c r="O2" s="19"/>
      <c r="P2" s="19"/>
      <c r="Q2" s="19"/>
      <c r="R2" s="19"/>
      <c r="S2" s="19"/>
      <c r="T2" s="19"/>
    </row>
    <row r="3" spans="1:2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  <c r="K3" s="19"/>
      <c r="M3" s="19"/>
      <c r="N3" s="19"/>
      <c r="O3" s="19"/>
      <c r="P3" s="19"/>
      <c r="Q3" s="19"/>
      <c r="R3" s="19"/>
      <c r="S3" s="19"/>
      <c r="T3" s="19"/>
      <c r="W3">
        <f>SUMIF(C2:C21,"Sales",P2:P21)</f>
        <v>0</v>
      </c>
    </row>
    <row r="4" spans="1:2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309</v>
      </c>
      <c r="M4" s="19">
        <f>SUMIF(I2:I21,2,G2:G21)</f>
        <v>312000</v>
      </c>
      <c r="N4" s="19"/>
      <c r="O4" s="19"/>
      <c r="P4" s="19"/>
      <c r="Q4" s="19"/>
      <c r="R4" s="19"/>
      <c r="S4" s="19"/>
      <c r="T4" s="19"/>
    </row>
    <row r="5" spans="1:2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  <c r="K5" s="19"/>
      <c r="M5" s="19"/>
      <c r="N5" s="19"/>
      <c r="O5" s="19"/>
      <c r="P5" s="19"/>
      <c r="Q5" s="19"/>
      <c r="R5" s="19"/>
      <c r="S5" s="19"/>
      <c r="T5" s="19"/>
      <c r="W5">
        <f>SUMIF(Q2:Q21,2,O2:O21)</f>
        <v>0</v>
      </c>
    </row>
    <row r="6" spans="1:2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K6" s="19"/>
      <c r="L6" t="s">
        <v>310</v>
      </c>
      <c r="M6" s="19">
        <f>SUMIF(F2:F21,"&gt;60000")</f>
        <v>475000</v>
      </c>
      <c r="N6" s="19"/>
      <c r="O6" s="19"/>
      <c r="P6" s="19"/>
      <c r="Q6" s="19"/>
      <c r="R6" s="19"/>
      <c r="S6" s="19"/>
      <c r="T6" s="19"/>
    </row>
    <row r="7" spans="1:2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  <c r="K7" s="19"/>
      <c r="M7" s="19"/>
      <c r="N7" s="19"/>
      <c r="O7" s="19"/>
      <c r="P7" s="19"/>
      <c r="Q7" s="19"/>
      <c r="R7" s="19"/>
      <c r="S7" s="19"/>
      <c r="T7" s="19"/>
      <c r="W7">
        <f>SUMIF(I2:I21,"&gt;6000")</f>
        <v>0</v>
      </c>
    </row>
    <row r="8" spans="1:2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K8" s="19"/>
      <c r="L8" t="s">
        <v>311</v>
      </c>
      <c r="M8" s="19">
        <f>SUMIF(H2:H21,"&lt;5000")</f>
        <v>19200</v>
      </c>
      <c r="N8" s="19"/>
      <c r="O8" s="19"/>
      <c r="P8" s="19"/>
      <c r="Q8" s="19"/>
      <c r="R8" s="19"/>
      <c r="S8" s="19"/>
      <c r="T8" s="19"/>
    </row>
    <row r="9" spans="1:2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  <c r="K9" s="19"/>
      <c r="M9" s="19"/>
      <c r="N9" s="19"/>
      <c r="O9" s="19"/>
      <c r="P9" s="19"/>
      <c r="Q9" s="19"/>
      <c r="R9" s="19"/>
      <c r="S9" s="19"/>
      <c r="T9" s="19"/>
    </row>
    <row r="10" spans="1:2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K10" s="19"/>
      <c r="L10" t="s">
        <v>312</v>
      </c>
      <c r="M10" s="19">
        <f>SUMIF(G2:G21,"&gt;=8000")</f>
        <v>1516000</v>
      </c>
      <c r="N10" s="19"/>
      <c r="O10" s="19"/>
      <c r="P10" s="19"/>
      <c r="Q10" s="19"/>
      <c r="R10" s="19"/>
      <c r="S10" s="19"/>
      <c r="T10" s="19"/>
    </row>
    <row r="11" spans="1:2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  <c r="K11" s="19"/>
      <c r="M11" s="19"/>
      <c r="N11" s="19"/>
      <c r="O11" s="19"/>
      <c r="P11" s="19"/>
      <c r="Q11" s="19"/>
      <c r="R11" s="19"/>
      <c r="S11" s="19"/>
      <c r="T11" s="19"/>
    </row>
    <row r="12" spans="1:2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K12" s="19"/>
      <c r="L12" t="s">
        <v>313</v>
      </c>
      <c r="M12" s="19">
        <f>SUMIF(I2:I21,"&lt;=2")</f>
        <v>12</v>
      </c>
      <c r="N12" s="19"/>
      <c r="O12" s="19"/>
      <c r="P12" s="19"/>
      <c r="Q12" s="19"/>
      <c r="R12" s="19"/>
      <c r="S12" s="19"/>
      <c r="T12" s="19"/>
    </row>
    <row r="13" spans="1:2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  <c r="K13" s="19"/>
      <c r="M13" s="19"/>
      <c r="N13" s="19"/>
      <c r="O13" s="19"/>
      <c r="P13" s="19"/>
      <c r="Q13" s="19"/>
      <c r="R13" s="19"/>
      <c r="S13" s="19"/>
      <c r="T13" s="19"/>
    </row>
    <row r="14" spans="1:2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K14" s="19"/>
      <c r="L14" t="s">
        <v>314</v>
      </c>
      <c r="M14" s="19">
        <f>SUMIF(C2:C21,"&lt;&gt;finance",H2:H21)</f>
        <v>168700</v>
      </c>
      <c r="N14" s="19"/>
      <c r="O14" s="19"/>
      <c r="P14" s="19"/>
      <c r="Q14" s="19"/>
      <c r="R14" s="19"/>
      <c r="S14" s="19"/>
      <c r="T14" s="19"/>
    </row>
    <row r="15" spans="1:2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  <c r="K15" s="19"/>
      <c r="M15" s="19"/>
      <c r="N15" s="19"/>
      <c r="O15" s="19"/>
      <c r="P15" s="19"/>
      <c r="Q15" s="19"/>
      <c r="R15" s="19"/>
      <c r="S15" s="19"/>
      <c r="T15" s="19"/>
    </row>
    <row r="16" spans="1:2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K16" s="19"/>
      <c r="L16" t="s">
        <v>315</v>
      </c>
      <c r="M16" s="19">
        <f>SUMIF(D2:D21,O16,G2:G21)</f>
        <v>436000</v>
      </c>
      <c r="N16" s="19"/>
      <c r="O16" s="19" t="s">
        <v>90</v>
      </c>
      <c r="P16" s="19"/>
      <c r="Q16" s="19"/>
      <c r="R16" s="19"/>
      <c r="S16" s="19"/>
      <c r="T16" s="19"/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  <c r="K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K18" s="19"/>
      <c r="L18" t="s">
        <v>316</v>
      </c>
      <c r="M18" s="19">
        <f>SUMIF(G2:G21,"&gt;"&amp;O18)</f>
        <v>235000</v>
      </c>
      <c r="N18" s="19"/>
      <c r="O18" s="19">
        <v>102000</v>
      </c>
      <c r="P18" s="19"/>
      <c r="Q18" s="19"/>
      <c r="R18" s="19"/>
      <c r="S18" s="19"/>
      <c r="T18" s="19"/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  <c r="K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K20" s="19"/>
      <c r="L20" t="s">
        <v>317</v>
      </c>
      <c r="M20" s="19">
        <f>SUMIF(B2:B21,"A*",G2:G21)</f>
        <v>280000</v>
      </c>
      <c r="N20" s="19"/>
      <c r="O20" s="19"/>
      <c r="P20" s="19"/>
      <c r="Q20" s="19"/>
      <c r="R20" s="19"/>
      <c r="S20" s="19"/>
      <c r="T20" s="19"/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  <c r="K21" s="19"/>
      <c r="M21" s="19"/>
      <c r="N21" s="19"/>
      <c r="O21" s="19"/>
      <c r="P21" s="19"/>
      <c r="Q21" s="19"/>
      <c r="R21" s="19"/>
      <c r="S21" s="19"/>
      <c r="T21" s="19"/>
    </row>
    <row r="22" spans="1:20" x14ac:dyDescent="0.2">
      <c r="L22" t="s">
        <v>318</v>
      </c>
      <c r="M22">
        <f>SUMIF(C2:C21,"*es",H2:H21)</f>
        <v>34500</v>
      </c>
    </row>
    <row r="24" spans="1:20" x14ac:dyDescent="0.2">
      <c r="L24" t="s">
        <v>319</v>
      </c>
      <c r="M24">
        <f>SUMIF(B2:B21,"*ra*",G2:G21)</f>
        <v>510000</v>
      </c>
    </row>
    <row r="26" spans="1:20" x14ac:dyDescent="0.2">
      <c r="L26" t="s">
        <v>320</v>
      </c>
      <c r="M26">
        <f>SUMIF(A2:A21,"E00?",G2:G21)</f>
        <v>665000</v>
      </c>
    </row>
    <row r="28" spans="1:20" x14ac:dyDescent="0.2">
      <c r="L28" t="s">
        <v>321</v>
      </c>
      <c r="M28">
        <f>SUMIF(J2:J21,"Yes~*",I2:I21)</f>
        <v>3</v>
      </c>
    </row>
  </sheetData>
  <dataValidations disablePrompts="1" count="1">
    <dataValidation type="list" allowBlank="1" showInputMessage="1" showErrorMessage="1" sqref="O16" xr:uid="{108B6D69-4E69-2045-8D75-3E6C0846311C}">
      <formula1>$D$2:$D$21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37F4-19D1-CF46-AF76-050A83EF0E7C}">
  <dimension ref="A1:P34"/>
  <sheetViews>
    <sheetView topLeftCell="E9" zoomScale="125" workbookViewId="0">
      <selection activeCell="M25" sqref="M25"/>
    </sheetView>
  </sheetViews>
  <sheetFormatPr baseColWidth="10" defaultRowHeight="16" x14ac:dyDescent="0.2"/>
  <cols>
    <col min="10" max="10" width="12.6640625" bestFit="1" customWidth="1"/>
    <col min="12" max="12" width="67.5" bestFit="1" customWidth="1"/>
  </cols>
  <sheetData>
    <row r="1" spans="1:1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322</v>
      </c>
      <c r="M2">
        <f>SUMIF(C2:C21,"Sales",H2:H21)</f>
        <v>34500</v>
      </c>
    </row>
    <row r="3" spans="1:1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323</v>
      </c>
      <c r="M4">
        <f>SUMIFS(H2:H21,C2:C21,"Sales")</f>
        <v>34500</v>
      </c>
    </row>
    <row r="5" spans="1:1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324</v>
      </c>
      <c r="M6">
        <f>SUMIFS(H2:H21,C2:C21,"Sales",D2:D21,"West")</f>
        <v>22000</v>
      </c>
    </row>
    <row r="7" spans="1:1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325</v>
      </c>
      <c r="M8">
        <f>SUMIFS(G2:G21,C2:C21,"IT",I2:I21,"2")</f>
        <v>102000</v>
      </c>
    </row>
    <row r="9" spans="1:1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326</v>
      </c>
      <c r="M10">
        <f>SUMIFS(F2:F21,F2:F21,"&gt;60000",C2:C21,"Sales")</f>
        <v>123000</v>
      </c>
    </row>
    <row r="11" spans="1:1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327</v>
      </c>
      <c r="M12">
        <f>SUMIFS(H2:H21,H2:H21,"&lt;5000",D2:D21,"North")</f>
        <v>11000</v>
      </c>
    </row>
    <row r="13" spans="1:1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328</v>
      </c>
      <c r="M14">
        <f>SUMIFS(G2:G21,G2:G21,"&gt;+80000",C2:C21,"IT")</f>
        <v>435000</v>
      </c>
    </row>
    <row r="15" spans="1:1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329</v>
      </c>
      <c r="M16">
        <f>SUMIFS(I2:I21,I2:I21,"&lt;=2",J2:J21,"Yes")</f>
        <v>7</v>
      </c>
    </row>
    <row r="17" spans="1:16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6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330</v>
      </c>
      <c r="M18">
        <f>SUMIFS(H2:H21,C2:C21,"&lt;&gt;finance",D2:D21,"East")</f>
        <v>60000</v>
      </c>
    </row>
    <row r="19" spans="1:16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6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L20" t="s">
        <v>331</v>
      </c>
      <c r="M20">
        <f>SUMIFS(G2:G21,C2:C21,O20,D2:D21,P20)</f>
        <v>71000</v>
      </c>
      <c r="O20" t="s">
        <v>74</v>
      </c>
      <c r="P20" t="s">
        <v>83</v>
      </c>
    </row>
    <row r="21" spans="1:16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6" x14ac:dyDescent="0.2">
      <c r="L22" t="s">
        <v>332</v>
      </c>
      <c r="M22">
        <f>SUMIFS(G2:G21,G2:G21,"&gt;"&amp;O22,C2:C21,"Sales")</f>
        <v>86000</v>
      </c>
      <c r="O22">
        <v>85000</v>
      </c>
    </row>
    <row r="24" spans="1:16" x14ac:dyDescent="0.2">
      <c r="L24" t="s">
        <v>333</v>
      </c>
      <c r="M24">
        <f>SUMIFS(G2:G21,C2:C21,"Sales",B2:B21,"A*")</f>
        <v>226000</v>
      </c>
    </row>
    <row r="26" spans="1:16" x14ac:dyDescent="0.2">
      <c r="L26" t="s">
        <v>334</v>
      </c>
    </row>
    <row r="28" spans="1:16" x14ac:dyDescent="0.2">
      <c r="L28" t="s">
        <v>335</v>
      </c>
    </row>
    <row r="30" spans="1:16" x14ac:dyDescent="0.2">
      <c r="L30" t="s">
        <v>336</v>
      </c>
    </row>
    <row r="32" spans="1:16" x14ac:dyDescent="0.2">
      <c r="L32" t="s">
        <v>337</v>
      </c>
    </row>
    <row r="34" spans="12:12" x14ac:dyDescent="0.2">
      <c r="L34" t="s">
        <v>338</v>
      </c>
    </row>
  </sheetData>
  <dataValidations count="2">
    <dataValidation type="list" allowBlank="1" showInputMessage="1" showErrorMessage="1" sqref="O20" xr:uid="{28FDAD03-19D2-9247-A013-5A54A463834D}">
      <formula1>$C$2:$C$21</formula1>
    </dataValidation>
    <dataValidation type="list" allowBlank="1" showInputMessage="1" showErrorMessage="1" sqref="P20" xr:uid="{69399158-F8B4-7C4B-B70C-5BEC769D7C66}">
      <formula1>$D$2:$D$21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C260-25CB-3F4D-AB8A-0920F5374784}">
  <dimension ref="A1:F11"/>
  <sheetViews>
    <sheetView zoomScale="131" workbookViewId="0">
      <selection activeCell="J5" sqref="J5"/>
    </sheetView>
  </sheetViews>
  <sheetFormatPr baseColWidth="10" defaultRowHeight="16" x14ac:dyDescent="0.2"/>
  <cols>
    <col min="5" max="5" width="12.83203125" bestFit="1" customWidth="1"/>
  </cols>
  <sheetData>
    <row r="1" spans="1:6" x14ac:dyDescent="0.2">
      <c r="A1" t="s">
        <v>339</v>
      </c>
      <c r="B1" t="s">
        <v>340</v>
      </c>
      <c r="C1" t="s">
        <v>63</v>
      </c>
    </row>
    <row r="2" spans="1:6" x14ac:dyDescent="0.2">
      <c r="A2" t="s">
        <v>341</v>
      </c>
      <c r="B2">
        <v>85</v>
      </c>
      <c r="C2" t="s">
        <v>342</v>
      </c>
      <c r="E2" t="s">
        <v>355</v>
      </c>
      <c r="F2">
        <f>COUNT(A2:C11)</f>
        <v>7</v>
      </c>
    </row>
    <row r="3" spans="1:6" x14ac:dyDescent="0.2">
      <c r="A3" t="s">
        <v>343</v>
      </c>
      <c r="B3">
        <v>92</v>
      </c>
      <c r="C3" t="s">
        <v>342</v>
      </c>
    </row>
    <row r="4" spans="1:6" x14ac:dyDescent="0.2">
      <c r="A4" t="s">
        <v>344</v>
      </c>
      <c r="C4" t="s">
        <v>345</v>
      </c>
      <c r="E4" t="s">
        <v>356</v>
      </c>
      <c r="F4">
        <f>COUNTA(A2:C11)</f>
        <v>26</v>
      </c>
    </row>
    <row r="5" spans="1:6" x14ac:dyDescent="0.2">
      <c r="A5" t="s">
        <v>346</v>
      </c>
      <c r="B5">
        <v>78</v>
      </c>
    </row>
    <row r="6" spans="1:6" x14ac:dyDescent="0.2">
      <c r="A6" t="s">
        <v>347</v>
      </c>
      <c r="B6">
        <v>90</v>
      </c>
      <c r="C6" t="s">
        <v>342</v>
      </c>
      <c r="E6" t="s">
        <v>357</v>
      </c>
      <c r="F6">
        <f>COUNTBLANK(A2:C11)</f>
        <v>4</v>
      </c>
    </row>
    <row r="7" spans="1:6" x14ac:dyDescent="0.2">
      <c r="A7" t="s">
        <v>348</v>
      </c>
      <c r="B7" t="s">
        <v>349</v>
      </c>
      <c r="C7" t="s">
        <v>350</v>
      </c>
    </row>
    <row r="8" spans="1:6" x14ac:dyDescent="0.2">
      <c r="A8" t="s">
        <v>351</v>
      </c>
      <c r="C8" t="s">
        <v>342</v>
      </c>
    </row>
    <row r="9" spans="1:6" x14ac:dyDescent="0.2">
      <c r="A9" t="s">
        <v>352</v>
      </c>
      <c r="B9">
        <v>88</v>
      </c>
      <c r="C9" t="s">
        <v>342</v>
      </c>
    </row>
    <row r="10" spans="1:6" x14ac:dyDescent="0.2">
      <c r="A10" t="s">
        <v>353</v>
      </c>
      <c r="B10">
        <v>95</v>
      </c>
      <c r="C10" t="s">
        <v>71</v>
      </c>
    </row>
    <row r="11" spans="1:6" x14ac:dyDescent="0.2">
      <c r="A11" t="s">
        <v>354</v>
      </c>
      <c r="B11">
        <v>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ED86A-6571-0249-BB11-FB1ACE98010B}">
  <dimension ref="A1:O28"/>
  <sheetViews>
    <sheetView topLeftCell="A4" zoomScale="110" workbookViewId="0">
      <selection activeCell="N29" sqref="N29"/>
    </sheetView>
  </sheetViews>
  <sheetFormatPr baseColWidth="10" defaultRowHeight="16" x14ac:dyDescent="0.2"/>
  <cols>
    <col min="12" max="12" width="36.33203125" bestFit="1" customWidth="1"/>
  </cols>
  <sheetData>
    <row r="1" spans="1:15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5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358</v>
      </c>
      <c r="N2">
        <f>COUNTIF(C2:C21,"sales")</f>
        <v>4</v>
      </c>
    </row>
    <row r="3" spans="1:15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5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359</v>
      </c>
      <c r="N4">
        <f>COUNTIF(I2:I21,"2")</f>
        <v>5</v>
      </c>
    </row>
    <row r="5" spans="1:15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5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360</v>
      </c>
      <c r="N6">
        <f>COUNTIF(F2:F21,"&gt;60000")</f>
        <v>6</v>
      </c>
    </row>
    <row r="7" spans="1:15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5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361</v>
      </c>
      <c r="N8">
        <f>COUNTIF(H2:H21,"&lt;5000")</f>
        <v>10</v>
      </c>
    </row>
    <row r="9" spans="1:15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5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362</v>
      </c>
      <c r="N10">
        <f>COUNTIF(G2:G21,"&gt;=80000")</f>
        <v>7</v>
      </c>
    </row>
    <row r="11" spans="1:15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5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363</v>
      </c>
      <c r="N12">
        <f>COUNTIF(I2:I21,"&lt;=2")</f>
        <v>10</v>
      </c>
    </row>
    <row r="13" spans="1:15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2</v>
      </c>
      <c r="J13" t="s">
        <v>70</v>
      </c>
    </row>
    <row r="14" spans="1:15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364</v>
      </c>
      <c r="N14">
        <f>COUNTIF(C2:C21,"&lt;&gt;finance")</f>
        <v>16</v>
      </c>
    </row>
    <row r="15" spans="1:15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5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365</v>
      </c>
      <c r="N16">
        <f>COUNTIF(I2:I21,O16)</f>
        <v>5</v>
      </c>
      <c r="O16">
        <v>2</v>
      </c>
    </row>
    <row r="17" spans="1:15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5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366</v>
      </c>
      <c r="N18">
        <f>COUNTIF(G2:G21,"&gt;"&amp;O18)</f>
        <v>3</v>
      </c>
      <c r="O18">
        <v>100000</v>
      </c>
    </row>
    <row r="19" spans="1:15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5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367</v>
      </c>
      <c r="N20">
        <f>COUNTIF(B2:B21,"A*")</f>
        <v>4</v>
      </c>
    </row>
    <row r="21" spans="1:15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5" x14ac:dyDescent="0.2">
      <c r="L22" t="s">
        <v>368</v>
      </c>
      <c r="N22">
        <f>COUNTIF(C2:C21,"*es")</f>
        <v>4</v>
      </c>
    </row>
    <row r="24" spans="1:15" x14ac:dyDescent="0.2">
      <c r="L24" t="s">
        <v>369</v>
      </c>
      <c r="N24">
        <f>COUNTIF(B2:B21,"*ra*")</f>
        <v>7</v>
      </c>
    </row>
    <row r="26" spans="1:15" x14ac:dyDescent="0.2">
      <c r="L26" t="s">
        <v>370</v>
      </c>
      <c r="N26">
        <f>COUNTIF(A2:A21,"E00?")</f>
        <v>9</v>
      </c>
    </row>
    <row r="28" spans="1:15" x14ac:dyDescent="0.2">
      <c r="L28" t="s">
        <v>371</v>
      </c>
      <c r="N28">
        <f>COUNTIF(J2:J21,"YES~*")</f>
        <v>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6B13F-CD15-6C4E-B472-D51F5DF8DBB2}">
  <dimension ref="A1:Q26"/>
  <sheetViews>
    <sheetView topLeftCell="G1" zoomScale="125" workbookViewId="0">
      <selection activeCell="O16" sqref="O16"/>
    </sheetView>
  </sheetViews>
  <sheetFormatPr baseColWidth="10" defaultRowHeight="16" x14ac:dyDescent="0.2"/>
  <cols>
    <col min="10" max="10" width="12.6640625" bestFit="1" customWidth="1"/>
    <col min="12" max="12" width="61.6640625" bestFit="1" customWidth="1"/>
  </cols>
  <sheetData>
    <row r="1" spans="1:17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7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372</v>
      </c>
      <c r="Q2">
        <f>COUNTIFS(C2:C21,"Sales",D2:D21,"West")</f>
        <v>2</v>
      </c>
    </row>
    <row r="3" spans="1:17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7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373</v>
      </c>
      <c r="Q4">
        <f>COUNTIFS(C2:C21,"IT",I2:I21,"2")</f>
        <v>2</v>
      </c>
    </row>
    <row r="5" spans="1:17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7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374</v>
      </c>
      <c r="M6">
        <f>COUNTIFS(C2:C21,"Sales",F2:F21,"&gt;60000")</f>
        <v>2</v>
      </c>
    </row>
    <row r="7" spans="1:17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7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375</v>
      </c>
      <c r="M8">
        <f>COUNTIFS(D2:D21,"North",H2:H21,"&lt;5000")</f>
        <v>4</v>
      </c>
    </row>
    <row r="9" spans="1:17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7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376</v>
      </c>
      <c r="M10">
        <f>COUNTIFS(C2:C21,"IT",G2:G21,"&gt;=80000")</f>
        <v>4</v>
      </c>
    </row>
    <row r="11" spans="1:17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7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377</v>
      </c>
      <c r="M12">
        <f>COUNTIFS(J2:J21,"Yes",I2:I21,"&lt;=2")</f>
        <v>8</v>
      </c>
    </row>
    <row r="13" spans="1:17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2</v>
      </c>
      <c r="J13" t="s">
        <v>70</v>
      </c>
    </row>
    <row r="14" spans="1:17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378</v>
      </c>
      <c r="M14">
        <f>COUNTIFS(D2:D21,"East",C2:C21,"&lt;&gt;finance")</f>
        <v>3</v>
      </c>
    </row>
    <row r="15" spans="1:17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7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379</v>
      </c>
      <c r="M16">
        <f>COUNTIFS(C2:C21,O16,D2:D21,P16)</f>
        <v>2</v>
      </c>
      <c r="O16" t="s">
        <v>74</v>
      </c>
      <c r="P16" t="s">
        <v>75</v>
      </c>
    </row>
    <row r="17" spans="1:13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3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380</v>
      </c>
      <c r="M18">
        <f>COUNTIFS(C2:C21,"Sales",B2:B21,"A*")</f>
        <v>3</v>
      </c>
    </row>
    <row r="19" spans="1:13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3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381</v>
      </c>
      <c r="M20">
        <f>COUNTIFS(D2:D21,"West",C2:C21,"*es")</f>
        <v>2</v>
      </c>
    </row>
    <row r="21" spans="1:13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3" x14ac:dyDescent="0.2">
      <c r="L22" t="s">
        <v>382</v>
      </c>
      <c r="M22">
        <f>COUNTIFS(D2:D21,"West",B2:B21,"*ra*")</f>
        <v>4</v>
      </c>
    </row>
    <row r="24" spans="1:13" x14ac:dyDescent="0.2">
      <c r="L24" t="s">
        <v>383</v>
      </c>
      <c r="M24">
        <f>COUNTIFS(C2:C21,"HR",A2:A21,"E00?")</f>
        <v>2</v>
      </c>
    </row>
    <row r="26" spans="1:13" x14ac:dyDescent="0.2">
      <c r="L26" t="s">
        <v>384</v>
      </c>
      <c r="M26">
        <f>COUNTIFS(C2:C21,"SALES",J2:J21,"YES~*")</f>
        <v>1</v>
      </c>
    </row>
  </sheetData>
  <dataValidations count="2">
    <dataValidation type="list" allowBlank="1" showInputMessage="1" showErrorMessage="1" sqref="O16" xr:uid="{04D0E870-30F1-8145-AFA8-45F160284A72}">
      <formula1>$C$2:$C$21</formula1>
    </dataValidation>
    <dataValidation type="list" allowBlank="1" showInputMessage="1" showErrorMessage="1" sqref="P16" xr:uid="{CCF5B7CE-B507-6E4F-BCD8-B670404D1035}">
      <formula1>$D$2:$D$21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3F7E-7A6F-C443-A5FE-93A2E18FC33C}">
  <dimension ref="A1:O28"/>
  <sheetViews>
    <sheetView topLeftCell="J1" zoomScale="135" workbookViewId="0">
      <selection activeCell="M29" sqref="M29"/>
    </sheetView>
  </sheetViews>
  <sheetFormatPr baseColWidth="10" defaultRowHeight="16" x14ac:dyDescent="0.2"/>
  <cols>
    <col min="10" max="10" width="12.6640625" bestFit="1" customWidth="1"/>
    <col min="12" max="12" width="60.33203125" bestFit="1" customWidth="1"/>
  </cols>
  <sheetData>
    <row r="1" spans="1:15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5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385</v>
      </c>
      <c r="M2">
        <f>AVERAGEIF(C2:C21,"sALES",F2:F21)</f>
        <v>56750</v>
      </c>
    </row>
    <row r="3" spans="1:15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5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386</v>
      </c>
      <c r="M4">
        <f>AVERAGEIF(I2:I21,"2")</f>
        <v>2</v>
      </c>
    </row>
    <row r="5" spans="1:15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5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387</v>
      </c>
      <c r="M6">
        <f>AVERAGEIF(I2:I21,2,G2:G21)</f>
        <v>78000</v>
      </c>
    </row>
    <row r="7" spans="1:15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5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388</v>
      </c>
      <c r="M8">
        <f>AVERAGEIF(H2:H21,"&lt;5000",G2:G21)</f>
        <v>60700</v>
      </c>
    </row>
    <row r="9" spans="1:15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5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389</v>
      </c>
      <c r="M10">
        <f>AVERAGEIF(G2:G21,"&gt;=80000",F2:F21)</f>
        <v>75428.571428571435</v>
      </c>
    </row>
    <row r="11" spans="1:15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5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390</v>
      </c>
      <c r="M12">
        <f>AVERAGEIF(I2:I21,"&lt;=2",H2:H21)</f>
        <v>14720</v>
      </c>
    </row>
    <row r="13" spans="1:15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5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391</v>
      </c>
      <c r="M14">
        <f>AVERAGEIF(C2:C21,"&lt;&gt;FINANCE",G2:G21)</f>
        <v>79937.5</v>
      </c>
    </row>
    <row r="15" spans="1:15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5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392</v>
      </c>
      <c r="M16">
        <f>AVERAGEIF(C2:C21,O16,F2:F21)</f>
        <v>56750</v>
      </c>
      <c r="O16" t="s">
        <v>66</v>
      </c>
    </row>
    <row r="17" spans="1:15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5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393</v>
      </c>
      <c r="M18">
        <f>AVERAGEIF(G2:G21,"&gt;"&amp;O18,F2:F21)</f>
        <v>59333.333333333336</v>
      </c>
      <c r="O18">
        <v>60000</v>
      </c>
    </row>
    <row r="19" spans="1:15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5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394</v>
      </c>
      <c r="M20">
        <f>AVERAGEIF(B2:B21,"A*",F2:F21)</f>
        <v>47000</v>
      </c>
    </row>
    <row r="21" spans="1:15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5" x14ac:dyDescent="0.2">
      <c r="L22" t="s">
        <v>395</v>
      </c>
      <c r="M22">
        <f>AVERAGEIF(C2:C21,"*es",G2:G21)</f>
        <v>78000</v>
      </c>
    </row>
    <row r="24" spans="1:15" x14ac:dyDescent="0.2">
      <c r="L24" t="s">
        <v>396</v>
      </c>
      <c r="M24">
        <f>AVERAGEIF(B2:B21,"*ra*",F2:F21)</f>
        <v>48571.428571428572</v>
      </c>
    </row>
    <row r="26" spans="1:15" x14ac:dyDescent="0.2">
      <c r="L26" t="s">
        <v>397</v>
      </c>
      <c r="M26">
        <f>AVERAGEIF(A2:A21,"E00?",G2:G21)</f>
        <v>73888.888888888891</v>
      </c>
    </row>
    <row r="28" spans="1:15" x14ac:dyDescent="0.2">
      <c r="L28" t="s">
        <v>398</v>
      </c>
      <c r="M28">
        <f>AVERAGEIF(J2:J21,"yes~*",F2:F21)</f>
        <v>61000</v>
      </c>
    </row>
  </sheetData>
  <dataValidations count="1">
    <dataValidation type="list" allowBlank="1" showInputMessage="1" showErrorMessage="1" sqref="O16" xr:uid="{344ACB30-EBDC-644E-9CBE-6FFB7447FDE0}">
      <formula1>$C$2:$C$21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6E91-DAD6-034D-900D-39D466FA2FA9}">
  <dimension ref="A1:P26"/>
  <sheetViews>
    <sheetView topLeftCell="H3" zoomScale="133" workbookViewId="0">
      <selection activeCell="M21" sqref="M21"/>
    </sheetView>
  </sheetViews>
  <sheetFormatPr baseColWidth="10" defaultRowHeight="16" x14ac:dyDescent="0.2"/>
  <cols>
    <col min="12" max="12" width="75.5" bestFit="1" customWidth="1"/>
  </cols>
  <sheetData>
    <row r="1" spans="1:16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6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399</v>
      </c>
      <c r="M2">
        <f>AVERAGEIFS(F2:F21,D2:D21,"west",C2:C21,"sales")</f>
        <v>58500</v>
      </c>
    </row>
    <row r="3" spans="1:16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6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400</v>
      </c>
      <c r="M4">
        <f>AVERAGEIFS(G2:G21,C2:C21,"IT",I2:I21,2)</f>
        <v>102000</v>
      </c>
    </row>
    <row r="5" spans="1:16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6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401</v>
      </c>
      <c r="M6">
        <f>AVERAGEIFS(H2:H21,C2:C21,"SALES",F2:F21,"&gt;60000")</f>
        <v>11500</v>
      </c>
    </row>
    <row r="7" spans="1:16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6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402</v>
      </c>
      <c r="M8">
        <f>AVERAGEIFS(G2:G21,D2:D21,"north",H2:H21,"&lt;5000")</f>
        <v>60750</v>
      </c>
    </row>
    <row r="9" spans="1:16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6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403</v>
      </c>
      <c r="M10">
        <f>AVERAGEIFS(F2:F21,C2:C21,"IT",G2:G21,"&gt;=80000")</f>
        <v>88000</v>
      </c>
    </row>
    <row r="11" spans="1:16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6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404</v>
      </c>
      <c r="M12">
        <f>AVERAGEIFS(H2:H21,J2:J21,"YES",I2:I21,"&lt;=2")</f>
        <v>14900</v>
      </c>
    </row>
    <row r="13" spans="1:16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6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405</v>
      </c>
      <c r="M14">
        <f>AVERAGEIFS(G2:G21,D2:D21,"EAST",C2:C21,"&lt;&gt;FINANCE")</f>
        <v>105000</v>
      </c>
    </row>
    <row r="15" spans="1:16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6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406</v>
      </c>
      <c r="M16">
        <f>AVERAGEIFS(F2:F21,C2:C21,O16,D2:D21,P16)</f>
        <v>47000</v>
      </c>
      <c r="O16" t="s">
        <v>74</v>
      </c>
      <c r="P16" t="s">
        <v>83</v>
      </c>
    </row>
    <row r="17" spans="1:13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3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407</v>
      </c>
      <c r="M18">
        <f>AVERAGEIFS(F2:F21,C2:C21,"sales",B2:B21,"A*")</f>
        <v>55333.333333333336</v>
      </c>
    </row>
    <row r="19" spans="1:13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3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408</v>
      </c>
      <c r="M20">
        <f>AVERAGEIFS(G2:G21,D2:D21,"west",C2:C21,"*es")</f>
        <v>78500</v>
      </c>
    </row>
    <row r="21" spans="1:13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3" x14ac:dyDescent="0.2">
      <c r="L22" t="s">
        <v>409</v>
      </c>
      <c r="M22">
        <f>AVERAGEIFS(F2:F21,D2:D21,"west",B2:B21,"*ra*")</f>
        <v>50000</v>
      </c>
    </row>
    <row r="24" spans="1:13" x14ac:dyDescent="0.2">
      <c r="L24" t="s">
        <v>410</v>
      </c>
      <c r="M24">
        <f>AVERAGEIFS(G2:G21,C2:C21,"HR",A2:A21,"E00?")</f>
        <v>59000</v>
      </c>
    </row>
    <row r="26" spans="1:13" x14ac:dyDescent="0.2">
      <c r="L26" t="s">
        <v>411</v>
      </c>
      <c r="M26">
        <f>AVERAGEIFS(F2:F21,C2:C21,"sales",J2:J21,"yes~*")</f>
        <v>62000</v>
      </c>
    </row>
  </sheetData>
  <dataValidations disablePrompts="1" count="2">
    <dataValidation type="list" allowBlank="1" showInputMessage="1" showErrorMessage="1" sqref="O16" xr:uid="{BF5B3807-5B71-C64B-8BE5-79DF06B101CD}">
      <formula1>$C$2:$C$21</formula1>
    </dataValidation>
    <dataValidation type="list" allowBlank="1" showInputMessage="1" showErrorMessage="1" sqref="P16" xr:uid="{A4E23A6E-A8E6-5146-B325-74C0A58FABE7}">
      <formula1>$D$2:$D$21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8F78D-BB88-514A-AD9D-870E191FB7FC}">
  <dimension ref="A1:G6"/>
  <sheetViews>
    <sheetView zoomScale="112" workbookViewId="0">
      <selection activeCell="G18" sqref="G18"/>
    </sheetView>
  </sheetViews>
  <sheetFormatPr baseColWidth="10" defaultRowHeight="16" x14ac:dyDescent="0.2"/>
  <cols>
    <col min="2" max="2" width="23.33203125" bestFit="1" customWidth="1"/>
    <col min="7" max="7" width="16.5" bestFit="1" customWidth="1"/>
  </cols>
  <sheetData>
    <row r="1" spans="1:7" x14ac:dyDescent="0.2">
      <c r="A1" t="s">
        <v>412</v>
      </c>
      <c r="B1" t="s">
        <v>339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</row>
    <row r="2" spans="1:7" x14ac:dyDescent="0.2">
      <c r="A2">
        <v>1</v>
      </c>
      <c r="B2" t="s">
        <v>413</v>
      </c>
      <c r="C2" t="str">
        <f>LEFT(B2,6)</f>
        <v>Steven</v>
      </c>
      <c r="D2" t="str">
        <f>RIGHT(B2,6)</f>
        <v>123212</v>
      </c>
      <c r="E2" t="str">
        <f>MID(B2,5,5)</f>
        <v>en Ro</v>
      </c>
      <c r="F2">
        <f>FIND("-",B2,1)</f>
        <v>13</v>
      </c>
      <c r="G2" t="str">
        <f>LEFT(B2,FIND("-",B2,1)-1)</f>
        <v>Steven Roger</v>
      </c>
    </row>
    <row r="3" spans="1:7" x14ac:dyDescent="0.2">
      <c r="A3">
        <v>2</v>
      </c>
      <c r="B3" t="s">
        <v>414</v>
      </c>
      <c r="C3" t="str">
        <f t="shared" ref="C3:C6" si="0">LEFT(B3,6)</f>
        <v>Natash</v>
      </c>
      <c r="D3" t="str">
        <f t="shared" ref="D3:D6" si="1">RIGHT(B3,6)</f>
        <v>547689</v>
      </c>
      <c r="E3" t="str">
        <f t="shared" ref="E3:E6" si="2">MID(B3,5,5)</f>
        <v>sha R</v>
      </c>
      <c r="F3">
        <f t="shared" ref="F3:F6" si="3">FIND("-",B3,1)</f>
        <v>17</v>
      </c>
      <c r="G3" t="str">
        <f t="shared" ref="G3:G6" si="4">LEFT(B3,FIND("-",B3,1)-1)</f>
        <v>Natasha RomanOff</v>
      </c>
    </row>
    <row r="4" spans="1:7" x14ac:dyDescent="0.2">
      <c r="A4">
        <v>3</v>
      </c>
      <c r="B4" t="s">
        <v>415</v>
      </c>
      <c r="C4" t="str">
        <f t="shared" si="0"/>
        <v>Tony S</v>
      </c>
      <c r="D4" t="str">
        <f t="shared" si="1"/>
        <v>347856</v>
      </c>
      <c r="E4" t="str">
        <f t="shared" si="2"/>
        <v xml:space="preserve"> Star</v>
      </c>
      <c r="F4">
        <f t="shared" si="3"/>
        <v>11</v>
      </c>
      <c r="G4" t="str">
        <f t="shared" si="4"/>
        <v>Tony Stark</v>
      </c>
    </row>
    <row r="5" spans="1:7" x14ac:dyDescent="0.2">
      <c r="A5">
        <v>4</v>
      </c>
      <c r="B5" t="s">
        <v>416</v>
      </c>
      <c r="C5" t="str">
        <f t="shared" si="0"/>
        <v>Gamora</v>
      </c>
      <c r="D5" t="str">
        <f t="shared" si="1"/>
        <v>897645</v>
      </c>
      <c r="E5" t="str">
        <f t="shared" si="2"/>
        <v>ra-89</v>
      </c>
      <c r="F5">
        <f t="shared" si="3"/>
        <v>7</v>
      </c>
      <c r="G5" t="str">
        <f t="shared" si="4"/>
        <v>Gamora</v>
      </c>
    </row>
    <row r="6" spans="1:7" x14ac:dyDescent="0.2">
      <c r="A6">
        <v>5</v>
      </c>
      <c r="B6" t="s">
        <v>417</v>
      </c>
      <c r="C6" t="str">
        <f t="shared" si="0"/>
        <v xml:space="preserve">Clint </v>
      </c>
      <c r="D6" t="str">
        <f t="shared" si="1"/>
        <v>452353</v>
      </c>
      <c r="E6" t="str">
        <f t="shared" si="2"/>
        <v>t Bar</v>
      </c>
      <c r="F6">
        <f t="shared" si="3"/>
        <v>13</v>
      </c>
      <c r="G6" t="str">
        <f t="shared" si="4"/>
        <v>Clint Barten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DB006-C00F-5541-9352-436EA2AE4E60}">
  <dimension ref="A1:I7"/>
  <sheetViews>
    <sheetView topLeftCell="C1" zoomScale="167" workbookViewId="0">
      <selection activeCell="H4" sqref="H4"/>
    </sheetView>
  </sheetViews>
  <sheetFormatPr baseColWidth="10" defaultRowHeight="16" x14ac:dyDescent="0.2"/>
  <cols>
    <col min="7" max="8" width="19.1640625" bestFit="1" customWidth="1"/>
  </cols>
  <sheetData>
    <row r="1" spans="1:9" x14ac:dyDescent="0.2">
      <c r="A1" t="s">
        <v>423</v>
      </c>
      <c r="D1" s="32"/>
      <c r="E1" s="32"/>
      <c r="F1" s="32"/>
      <c r="G1" s="32" t="s">
        <v>428</v>
      </c>
      <c r="H1" s="32"/>
      <c r="I1" s="32"/>
    </row>
    <row r="2" spans="1:9" x14ac:dyDescent="0.2">
      <c r="A2" t="s">
        <v>339</v>
      </c>
      <c r="B2" t="s">
        <v>424</v>
      </c>
      <c r="C2" t="s">
        <v>425</v>
      </c>
      <c r="F2" t="s">
        <v>429</v>
      </c>
      <c r="G2" t="s">
        <v>430</v>
      </c>
      <c r="H2" t="s">
        <v>32</v>
      </c>
    </row>
    <row r="3" spans="1:9" x14ac:dyDescent="0.2">
      <c r="A3" t="s">
        <v>248</v>
      </c>
      <c r="B3">
        <v>5</v>
      </c>
      <c r="C3" t="str">
        <f>REPT("*",B3)</f>
        <v>*****</v>
      </c>
      <c r="F3">
        <v>1</v>
      </c>
      <c r="G3" t="s">
        <v>431</v>
      </c>
      <c r="H3" t="str">
        <f>SUBSTITUTE(G3,"-"," " )</f>
        <v>John Smith</v>
      </c>
    </row>
    <row r="4" spans="1:9" x14ac:dyDescent="0.2">
      <c r="A4" t="s">
        <v>426</v>
      </c>
      <c r="B4">
        <v>4</v>
      </c>
      <c r="C4" t="str">
        <f t="shared" ref="C4:C7" si="0">REPT("*",B4)</f>
        <v>****</v>
      </c>
      <c r="F4">
        <v>2</v>
      </c>
      <c r="G4" t="s">
        <v>432</v>
      </c>
      <c r="H4" t="str">
        <f>SUBSTITUTE(G4,"-"," ")</f>
        <v>Mumbai India 400001</v>
      </c>
    </row>
    <row r="5" spans="1:9" x14ac:dyDescent="0.2">
      <c r="A5" t="s">
        <v>427</v>
      </c>
      <c r="B5">
        <v>3</v>
      </c>
      <c r="C5" t="str">
        <f t="shared" si="0"/>
        <v>***</v>
      </c>
      <c r="F5">
        <v>3</v>
      </c>
      <c r="G5" t="s">
        <v>433</v>
      </c>
      <c r="H5" t="str">
        <f>SUBSTITUTE(G5,"."," ")</f>
        <v>Report docx</v>
      </c>
    </row>
    <row r="6" spans="1:9" x14ac:dyDescent="0.2">
      <c r="A6" t="s">
        <v>251</v>
      </c>
      <c r="B6">
        <v>4</v>
      </c>
      <c r="C6" t="str">
        <f t="shared" si="0"/>
        <v>****</v>
      </c>
    </row>
    <row r="7" spans="1:9" x14ac:dyDescent="0.2">
      <c r="A7" t="s">
        <v>252</v>
      </c>
      <c r="B7">
        <v>5</v>
      </c>
      <c r="C7" t="str">
        <f t="shared" si="0"/>
        <v>*****</v>
      </c>
    </row>
  </sheetData>
  <mergeCells count="2">
    <mergeCell ref="D1:F1"/>
    <mergeCell ref="G1:I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AE5C-B1E6-3A4C-A21F-8DBDB8E2B155}">
  <dimension ref="A1:L9"/>
  <sheetViews>
    <sheetView zoomScale="108" zoomScaleNormal="134" workbookViewId="0">
      <selection activeCell="F4" sqref="F4"/>
    </sheetView>
  </sheetViews>
  <sheetFormatPr baseColWidth="10" defaultRowHeight="16" x14ac:dyDescent="0.2"/>
  <cols>
    <col min="1" max="1" width="12.6640625" bestFit="1" customWidth="1"/>
    <col min="4" max="4" width="16.83203125" bestFit="1" customWidth="1"/>
    <col min="5" max="5" width="17.1640625" bestFit="1" customWidth="1"/>
    <col min="7" max="7" width="12.6640625" bestFit="1" customWidth="1"/>
    <col min="16" max="16" width="12.1640625" bestFit="1" customWidth="1"/>
  </cols>
  <sheetData>
    <row r="1" spans="1:12" x14ac:dyDescent="0.2">
      <c r="A1" t="s">
        <v>434</v>
      </c>
      <c r="B1" t="s">
        <v>435</v>
      </c>
      <c r="C1" t="s">
        <v>436</v>
      </c>
      <c r="D1" t="s">
        <v>442</v>
      </c>
      <c r="E1" t="s">
        <v>443</v>
      </c>
    </row>
    <row r="2" spans="1:12" x14ac:dyDescent="0.2">
      <c r="A2" t="s">
        <v>437</v>
      </c>
      <c r="B2">
        <v>10</v>
      </c>
      <c r="C2">
        <v>10</v>
      </c>
      <c r="D2">
        <f>B2*C2</f>
        <v>100</v>
      </c>
      <c r="E2">
        <f>B2*$C$2</f>
        <v>100</v>
      </c>
    </row>
    <row r="3" spans="1:12" x14ac:dyDescent="0.2">
      <c r="A3" t="s">
        <v>438</v>
      </c>
      <c r="B3">
        <v>20</v>
      </c>
      <c r="C3">
        <v>20</v>
      </c>
      <c r="D3">
        <f t="shared" ref="D3:D6" si="0">B3*C3</f>
        <v>400</v>
      </c>
      <c r="E3">
        <f>B3*$B$3</f>
        <v>400</v>
      </c>
      <c r="G3" s="23"/>
      <c r="H3" s="23"/>
      <c r="I3" s="33" t="s">
        <v>441</v>
      </c>
      <c r="J3" s="33"/>
      <c r="K3" s="33"/>
      <c r="L3" s="33"/>
    </row>
    <row r="4" spans="1:12" x14ac:dyDescent="0.2">
      <c r="A4" t="s">
        <v>300</v>
      </c>
      <c r="B4">
        <v>30</v>
      </c>
      <c r="C4">
        <v>10</v>
      </c>
      <c r="D4">
        <f t="shared" si="0"/>
        <v>300</v>
      </c>
      <c r="E4">
        <f t="shared" ref="E4:E6" si="1">B4*$C$2</f>
        <v>300</v>
      </c>
      <c r="G4" s="23" t="s">
        <v>434</v>
      </c>
      <c r="H4" s="23" t="s">
        <v>435</v>
      </c>
      <c r="I4" s="23">
        <v>10</v>
      </c>
      <c r="J4" s="23">
        <v>20</v>
      </c>
      <c r="K4" s="23">
        <v>30</v>
      </c>
      <c r="L4" s="23">
        <v>40</v>
      </c>
    </row>
    <row r="5" spans="1:12" x14ac:dyDescent="0.2">
      <c r="A5" t="s">
        <v>439</v>
      </c>
      <c r="B5">
        <v>40</v>
      </c>
      <c r="C5">
        <v>30</v>
      </c>
      <c r="D5">
        <f t="shared" si="0"/>
        <v>1200</v>
      </c>
      <c r="E5">
        <f t="shared" si="1"/>
        <v>400</v>
      </c>
      <c r="G5" s="23" t="s">
        <v>437</v>
      </c>
      <c r="H5" s="23">
        <v>10</v>
      </c>
      <c r="I5" s="23">
        <f>$H$5*I4</f>
        <v>100</v>
      </c>
      <c r="J5" s="23">
        <f>$H$5*J4</f>
        <v>200</v>
      </c>
      <c r="K5" s="23">
        <f>$H$5*K4</f>
        <v>300</v>
      </c>
      <c r="L5" s="23">
        <f>$H$5*L4</f>
        <v>400</v>
      </c>
    </row>
    <row r="6" spans="1:12" x14ac:dyDescent="0.2">
      <c r="A6" t="s">
        <v>440</v>
      </c>
      <c r="B6">
        <v>50</v>
      </c>
      <c r="C6">
        <v>10</v>
      </c>
      <c r="D6">
        <f t="shared" si="0"/>
        <v>500</v>
      </c>
      <c r="E6">
        <f t="shared" si="1"/>
        <v>500</v>
      </c>
      <c r="G6" s="23" t="s">
        <v>438</v>
      </c>
      <c r="H6" s="23">
        <v>20</v>
      </c>
      <c r="I6" s="23">
        <f>H6*I4</f>
        <v>200</v>
      </c>
      <c r="J6" s="23">
        <f t="shared" ref="J6:L6" si="2">I6*J4</f>
        <v>4000</v>
      </c>
      <c r="K6" s="23">
        <f t="shared" si="2"/>
        <v>120000</v>
      </c>
      <c r="L6" s="23">
        <f t="shared" si="2"/>
        <v>4800000</v>
      </c>
    </row>
    <row r="7" spans="1:12" x14ac:dyDescent="0.2">
      <c r="G7" s="23" t="s">
        <v>300</v>
      </c>
      <c r="H7" s="23">
        <v>30</v>
      </c>
      <c r="I7" s="24">
        <f t="shared" ref="I7:L9" si="3">$H5*I$4</f>
        <v>100</v>
      </c>
      <c r="J7" s="24">
        <f t="shared" si="3"/>
        <v>200</v>
      </c>
      <c r="K7" s="24">
        <f t="shared" si="3"/>
        <v>300</v>
      </c>
      <c r="L7" s="24">
        <f t="shared" si="3"/>
        <v>400</v>
      </c>
    </row>
    <row r="8" spans="1:12" x14ac:dyDescent="0.2">
      <c r="G8" s="23" t="s">
        <v>439</v>
      </c>
      <c r="H8" s="23">
        <v>40</v>
      </c>
      <c r="I8" s="24">
        <f t="shared" si="3"/>
        <v>200</v>
      </c>
      <c r="J8" s="24">
        <f t="shared" si="3"/>
        <v>400</v>
      </c>
      <c r="K8" s="24">
        <f t="shared" si="3"/>
        <v>600</v>
      </c>
      <c r="L8" s="24">
        <f t="shared" si="3"/>
        <v>800</v>
      </c>
    </row>
    <row r="9" spans="1:12" x14ac:dyDescent="0.2">
      <c r="G9" s="23" t="s">
        <v>440</v>
      </c>
      <c r="H9" s="23">
        <v>50</v>
      </c>
      <c r="I9" s="24">
        <f t="shared" si="3"/>
        <v>300</v>
      </c>
      <c r="J9" s="24">
        <f t="shared" si="3"/>
        <v>600</v>
      </c>
      <c r="K9" s="24">
        <f t="shared" si="3"/>
        <v>900</v>
      </c>
      <c r="L9" s="24">
        <f t="shared" si="3"/>
        <v>1200</v>
      </c>
    </row>
  </sheetData>
  <mergeCells count="1">
    <mergeCell ref="I3:L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9E49F-1D10-174B-9D3E-F427C2FCD714}">
  <dimension ref="A1:I8"/>
  <sheetViews>
    <sheetView workbookViewId="0">
      <selection activeCell="I7" sqref="I7"/>
    </sheetView>
  </sheetViews>
  <sheetFormatPr baseColWidth="10" defaultRowHeight="16" x14ac:dyDescent="0.2"/>
  <cols>
    <col min="7" max="7" width="13.83203125" customWidth="1"/>
    <col min="8" max="8" width="11.5" customWidth="1"/>
  </cols>
  <sheetData>
    <row r="1" spans="1:9" x14ac:dyDescent="0.2">
      <c r="A1" s="34" t="s">
        <v>444</v>
      </c>
      <c r="B1" s="34"/>
      <c r="C1" s="34"/>
      <c r="D1" s="34"/>
      <c r="E1" s="34"/>
      <c r="F1" s="19"/>
      <c r="G1" s="19"/>
      <c r="H1" s="19"/>
    </row>
    <row r="2" spans="1:9" x14ac:dyDescent="0.2">
      <c r="A2" s="26" t="s">
        <v>445</v>
      </c>
      <c r="B2" s="26" t="s">
        <v>446</v>
      </c>
      <c r="C2" s="26" t="s">
        <v>447</v>
      </c>
      <c r="D2" s="26" t="s">
        <v>448</v>
      </c>
      <c r="E2" s="26" t="s">
        <v>449</v>
      </c>
      <c r="F2" s="19"/>
      <c r="G2" s="19" t="s">
        <v>445</v>
      </c>
      <c r="H2" s="19" t="s">
        <v>454</v>
      </c>
    </row>
    <row r="3" spans="1:9" x14ac:dyDescent="0.2">
      <c r="A3" s="27" t="s">
        <v>0</v>
      </c>
      <c r="B3" s="27" t="s">
        <v>450</v>
      </c>
      <c r="C3" s="27" t="s">
        <v>451</v>
      </c>
      <c r="D3" s="27" t="s">
        <v>452</v>
      </c>
      <c r="E3" s="27" t="s">
        <v>453</v>
      </c>
      <c r="F3" s="19"/>
      <c r="G3" s="19" t="s">
        <v>1</v>
      </c>
      <c r="H3" s="19" t="s">
        <v>447</v>
      </c>
      <c r="I3" t="str" cm="1">
        <f t="array" ref="I3">INDEX(A2:E7,G8,H8)</f>
        <v>OPD</v>
      </c>
    </row>
    <row r="4" spans="1:9" x14ac:dyDescent="0.2">
      <c r="A4" s="27" t="s">
        <v>1</v>
      </c>
      <c r="B4" s="27" t="s">
        <v>451</v>
      </c>
      <c r="C4" s="27" t="s">
        <v>452</v>
      </c>
      <c r="D4" s="27" t="s">
        <v>453</v>
      </c>
      <c r="E4" s="27" t="s">
        <v>450</v>
      </c>
      <c r="F4" s="19"/>
      <c r="G4" s="19"/>
      <c r="H4" s="19"/>
    </row>
    <row r="5" spans="1:9" x14ac:dyDescent="0.2">
      <c r="A5" s="27" t="s">
        <v>2</v>
      </c>
      <c r="B5" s="27" t="s">
        <v>452</v>
      </c>
      <c r="C5" s="27" t="s">
        <v>450</v>
      </c>
      <c r="D5" s="27" t="s">
        <v>451</v>
      </c>
      <c r="E5" s="27" t="s">
        <v>453</v>
      </c>
      <c r="F5" s="19"/>
      <c r="G5" s="19"/>
      <c r="H5" s="19"/>
    </row>
    <row r="6" spans="1:9" x14ac:dyDescent="0.2">
      <c r="A6" s="27" t="s">
        <v>3</v>
      </c>
      <c r="B6" s="27" t="s">
        <v>453</v>
      </c>
      <c r="C6" s="27" t="s">
        <v>451</v>
      </c>
      <c r="D6" s="27" t="s">
        <v>450</v>
      </c>
      <c r="E6" s="27" t="s">
        <v>452</v>
      </c>
      <c r="F6" s="19"/>
      <c r="G6" s="19"/>
      <c r="H6" s="19"/>
    </row>
    <row r="7" spans="1:9" x14ac:dyDescent="0.2">
      <c r="A7" s="27" t="s">
        <v>4</v>
      </c>
      <c r="B7" s="27" t="s">
        <v>450</v>
      </c>
      <c r="C7" s="27" t="s">
        <v>453</v>
      </c>
      <c r="D7" s="27" t="s">
        <v>452</v>
      </c>
      <c r="E7" s="27" t="s">
        <v>451</v>
      </c>
      <c r="F7" s="19"/>
      <c r="G7" s="19"/>
      <c r="H7" s="19"/>
    </row>
    <row r="8" spans="1:9" x14ac:dyDescent="0.2">
      <c r="G8">
        <f>MATCH(G3,A3:A7,0)</f>
        <v>2</v>
      </c>
      <c r="H8">
        <f>MATCH(H3,B2:E2,0)</f>
        <v>2</v>
      </c>
    </row>
  </sheetData>
  <mergeCells count="1">
    <mergeCell ref="A1:E1"/>
  </mergeCells>
  <dataValidations count="2">
    <dataValidation type="list" allowBlank="1" showInputMessage="1" showErrorMessage="1" sqref="G3" xr:uid="{CB49694B-EA07-3641-8005-6C6EC90A6074}">
      <formula1>$A$3:$A$7</formula1>
    </dataValidation>
    <dataValidation type="list" allowBlank="1" showInputMessage="1" showErrorMessage="1" sqref="H3" xr:uid="{AC7D54FD-8189-334B-BA47-F5EC1979068A}">
      <formula1>$B$2:$E$2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96FE4-FD1F-5B4F-A41C-6FB7C3975AE7}">
  <dimension ref="A1:D11"/>
  <sheetViews>
    <sheetView zoomScale="125" workbookViewId="0">
      <selection activeCell="D3" sqref="D3"/>
    </sheetView>
  </sheetViews>
  <sheetFormatPr baseColWidth="10" defaultRowHeight="16" x14ac:dyDescent="0.2"/>
  <cols>
    <col min="3" max="3" width="14.6640625" bestFit="1" customWidth="1"/>
  </cols>
  <sheetData>
    <row r="1" spans="1:4" x14ac:dyDescent="0.2">
      <c r="A1" t="s">
        <v>455</v>
      </c>
      <c r="B1" t="s">
        <v>456</v>
      </c>
      <c r="C1" t="s">
        <v>462</v>
      </c>
      <c r="D1" t="s">
        <v>463</v>
      </c>
    </row>
    <row r="2" spans="1:4" x14ac:dyDescent="0.2">
      <c r="A2" t="s">
        <v>437</v>
      </c>
      <c r="B2">
        <v>23</v>
      </c>
      <c r="C2">
        <v>40</v>
      </c>
      <c r="D2" cm="1">
        <f t="array" ref="D2:D6">FREQUENCY(B2:B11,C2:C5)</f>
        <v>2</v>
      </c>
    </row>
    <row r="3" spans="1:4" x14ac:dyDescent="0.2">
      <c r="A3" t="s">
        <v>438</v>
      </c>
      <c r="B3">
        <v>45</v>
      </c>
      <c r="C3">
        <v>60</v>
      </c>
      <c r="D3">
        <v>3</v>
      </c>
    </row>
    <row r="4" spans="1:4" x14ac:dyDescent="0.2">
      <c r="A4" t="s">
        <v>300</v>
      </c>
      <c r="B4">
        <v>56</v>
      </c>
      <c r="C4">
        <v>80</v>
      </c>
      <c r="D4">
        <v>2</v>
      </c>
    </row>
    <row r="5" spans="1:4" x14ac:dyDescent="0.2">
      <c r="A5" t="s">
        <v>439</v>
      </c>
      <c r="B5">
        <v>67</v>
      </c>
      <c r="C5">
        <v>100</v>
      </c>
      <c r="D5">
        <v>3</v>
      </c>
    </row>
    <row r="6" spans="1:4" x14ac:dyDescent="0.2">
      <c r="A6" t="s">
        <v>440</v>
      </c>
      <c r="B6">
        <v>78</v>
      </c>
      <c r="D6">
        <v>0</v>
      </c>
    </row>
    <row r="7" spans="1:4" x14ac:dyDescent="0.2">
      <c r="A7" t="s">
        <v>457</v>
      </c>
      <c r="B7">
        <v>89</v>
      </c>
    </row>
    <row r="8" spans="1:4" x14ac:dyDescent="0.2">
      <c r="A8" t="s">
        <v>458</v>
      </c>
      <c r="B8">
        <v>90</v>
      </c>
    </row>
    <row r="9" spans="1:4" x14ac:dyDescent="0.2">
      <c r="A9" t="s">
        <v>459</v>
      </c>
      <c r="B9">
        <v>35</v>
      </c>
    </row>
    <row r="10" spans="1:4" x14ac:dyDescent="0.2">
      <c r="A10" t="s">
        <v>460</v>
      </c>
      <c r="B10">
        <v>60</v>
      </c>
    </row>
    <row r="11" spans="1:4" x14ac:dyDescent="0.2">
      <c r="A11" t="s">
        <v>461</v>
      </c>
      <c r="B11">
        <v>81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B1F4-179E-244F-8B91-9E11CA222D40}">
  <dimension ref="A1:M21"/>
  <sheetViews>
    <sheetView zoomScale="157" workbookViewId="0">
      <selection activeCell="M6" sqref="M6"/>
    </sheetView>
  </sheetViews>
  <sheetFormatPr baseColWidth="10" defaultRowHeight="16" x14ac:dyDescent="0.2"/>
  <cols>
    <col min="10" max="10" width="12.6640625" bestFit="1" customWidth="1"/>
    <col min="12" max="12" width="14.6640625" bestFit="1" customWidth="1"/>
  </cols>
  <sheetData>
    <row r="1" spans="1:1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</row>
    <row r="3" spans="1:1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</row>
    <row r="5" spans="1:1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s="28" t="s">
        <v>44</v>
      </c>
      <c r="M6" t="s">
        <v>64</v>
      </c>
    </row>
    <row r="7" spans="1:1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  <c r="L7" s="25" t="s">
        <v>45</v>
      </c>
      <c r="M7" t="str">
        <f>LOOKUP(M6,A1:A21,B1:B21)</f>
        <v>Aarav Mehta</v>
      </c>
    </row>
    <row r="8" spans="1:1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</row>
    <row r="9" spans="1:1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</row>
    <row r="11" spans="1:1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</row>
    <row r="13" spans="1:1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</row>
    <row r="15" spans="1:1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</row>
    <row r="17" spans="1:1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</row>
    <row r="19" spans="1:1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</row>
    <row r="21" spans="1:1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</sheetData>
  <dataValidations count="1">
    <dataValidation type="list" allowBlank="1" showInputMessage="1" showErrorMessage="1" sqref="M6" xr:uid="{F00022D7-BF42-1146-B2BF-A5A86868B202}">
      <formula1>$A$1:$A$21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656C-03BD-F648-9814-EC2789797EE0}">
  <dimension ref="A1:J21"/>
  <sheetViews>
    <sheetView zoomScale="113" workbookViewId="0">
      <selection activeCell="J18" sqref="J18"/>
    </sheetView>
  </sheetViews>
  <sheetFormatPr baseColWidth="10" defaultRowHeight="16" x14ac:dyDescent="0.2"/>
  <cols>
    <col min="7" max="7" width="14.6640625" bestFit="1" customWidth="1"/>
    <col min="8" max="8" width="22" customWidth="1"/>
    <col min="9" max="9" width="15" bestFit="1" customWidth="1"/>
    <col min="10" max="10" width="14.6640625" customWidth="1"/>
  </cols>
  <sheetData>
    <row r="1" spans="1:10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</row>
    <row r="2" spans="1:10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</row>
    <row r="3" spans="1:10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</row>
    <row r="4" spans="1:10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</row>
    <row r="5" spans="1:10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H5" t="str">
        <f>VLOOKUP($J$17,$A$1:$E$21,ROW()-3,FALSE)</f>
        <v>Aarav Mehta</v>
      </c>
      <c r="J5">
        <f>ROW()</f>
        <v>5</v>
      </c>
    </row>
    <row r="6" spans="1:10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H6" t="str">
        <f>VLOOKUP($J$17,$A$1:$E$21,ROW()-3,FALSE)</f>
        <v>Sales</v>
      </c>
    </row>
    <row r="7" spans="1:10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H7" t="str">
        <f>VLOOKUP($J$17,$A$1:$E$21,ROW()-3,FALSE)</f>
        <v>West</v>
      </c>
    </row>
    <row r="8" spans="1:10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H8" s="29">
        <f>VLOOKUP($J$17,$A$1:$E$21,ROW()-3,FALSE)</f>
        <v>50000</v>
      </c>
    </row>
    <row r="9" spans="1:10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</row>
    <row r="10" spans="1:10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</row>
    <row r="11" spans="1:10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</row>
    <row r="12" spans="1:10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</row>
    <row r="13" spans="1:10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</row>
    <row r="14" spans="1:10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</row>
    <row r="15" spans="1:10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</row>
    <row r="16" spans="1:10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</row>
    <row r="17" spans="1:1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I17" s="28" t="s">
        <v>44</v>
      </c>
      <c r="J17" t="s">
        <v>64</v>
      </c>
    </row>
    <row r="18" spans="1:1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I18" s="25" t="s">
        <v>45</v>
      </c>
      <c r="J18" t="str">
        <f>VLOOKUP($J$17,$A$1:$E$21,ROW()-16,FALSE)</f>
        <v>Aarav Mehta</v>
      </c>
    </row>
    <row r="19" spans="1:1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I19" s="25" t="s">
        <v>46</v>
      </c>
      <c r="J19" t="str">
        <f t="shared" ref="J19:J21" si="0">VLOOKUP($J$17,$A$1:$E$21,ROW()-16,FALSE)</f>
        <v>Sales</v>
      </c>
    </row>
    <row r="20" spans="1:1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I20" s="25" t="s">
        <v>47</v>
      </c>
      <c r="J20" t="str">
        <f t="shared" si="0"/>
        <v>West</v>
      </c>
    </row>
    <row r="21" spans="1:1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I21" s="25" t="s">
        <v>51</v>
      </c>
      <c r="J21">
        <f t="shared" si="0"/>
        <v>50000</v>
      </c>
    </row>
  </sheetData>
  <dataValidations count="1">
    <dataValidation type="list" allowBlank="1" showInputMessage="1" showErrorMessage="1" sqref="J17" xr:uid="{C3DFBC18-228D-8A40-8384-1AFDA4138829}">
      <formula1>$A$1:$A$21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284FE-AB3C-EA46-82C3-CF73A64583E2}">
  <dimension ref="A1"/>
  <sheetViews>
    <sheetView workbookViewId="0">
      <selection activeCell="G13" sqref="G13"/>
    </sheetView>
  </sheetViews>
  <sheetFormatPr baseColWidth="10" defaultRowHeight="16" x14ac:dyDescent="0.2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0525-6E0D-EC4E-B5AA-A0661B456AB7}">
  <dimension ref="A1:M12"/>
  <sheetViews>
    <sheetView zoomScale="99" workbookViewId="0">
      <selection activeCell="L10" sqref="L10"/>
    </sheetView>
  </sheetViews>
  <sheetFormatPr baseColWidth="10" defaultRowHeight="16" x14ac:dyDescent="0.2"/>
  <sheetData>
    <row r="1" spans="1:13" x14ac:dyDescent="0.2">
      <c r="A1" t="s">
        <v>464</v>
      </c>
      <c r="B1" t="s">
        <v>339</v>
      </c>
      <c r="C1" t="s">
        <v>465</v>
      </c>
      <c r="I1" t="s">
        <v>465</v>
      </c>
      <c r="J1" t="s">
        <v>46</v>
      </c>
    </row>
    <row r="2" spans="1:13" x14ac:dyDescent="0.2">
      <c r="A2">
        <v>1</v>
      </c>
      <c r="B2" t="s">
        <v>248</v>
      </c>
      <c r="C2" t="s">
        <v>466</v>
      </c>
      <c r="I2" t="s">
        <v>466</v>
      </c>
      <c r="J2" t="s">
        <v>74</v>
      </c>
    </row>
    <row r="3" spans="1:13" x14ac:dyDescent="0.2">
      <c r="A3">
        <v>2</v>
      </c>
      <c r="B3" t="s">
        <v>426</v>
      </c>
      <c r="C3" t="s">
        <v>467</v>
      </c>
      <c r="I3" t="s">
        <v>467</v>
      </c>
      <c r="J3" t="s">
        <v>66</v>
      </c>
    </row>
    <row r="4" spans="1:13" x14ac:dyDescent="0.2">
      <c r="A4">
        <v>3</v>
      </c>
      <c r="B4" t="s">
        <v>468</v>
      </c>
      <c r="C4" t="s">
        <v>469</v>
      </c>
      <c r="I4" t="s">
        <v>469</v>
      </c>
      <c r="J4" t="s">
        <v>82</v>
      </c>
    </row>
    <row r="5" spans="1:13" x14ac:dyDescent="0.2">
      <c r="A5">
        <v>4</v>
      </c>
      <c r="B5" t="s">
        <v>470</v>
      </c>
      <c r="C5" t="s">
        <v>466</v>
      </c>
    </row>
    <row r="6" spans="1:13" x14ac:dyDescent="0.2">
      <c r="A6">
        <v>5</v>
      </c>
      <c r="B6" t="s">
        <v>251</v>
      </c>
      <c r="C6" t="s">
        <v>467</v>
      </c>
    </row>
    <row r="8" spans="1:13" x14ac:dyDescent="0.2">
      <c r="E8" t="s">
        <v>464</v>
      </c>
      <c r="F8" t="s">
        <v>46</v>
      </c>
      <c r="L8" t="s">
        <v>471</v>
      </c>
      <c r="M8" t="s">
        <v>472</v>
      </c>
    </row>
    <row r="9" spans="1:13" x14ac:dyDescent="0.2">
      <c r="E9">
        <v>3</v>
      </c>
      <c r="F9" t="s">
        <v>82</v>
      </c>
      <c r="L9">
        <v>3</v>
      </c>
      <c r="M9" t="str">
        <f>VLOOKUP(VLOOKUP(L9,A1:C6,3,FALSE),I1:J4,2,FALSE)</f>
        <v>IT</v>
      </c>
    </row>
    <row r="12" spans="1:13" x14ac:dyDescent="0.2">
      <c r="F12" t="s">
        <v>469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81AF-5457-F14F-BF17-2B2481DF97F8}">
  <dimension ref="A1:P48"/>
  <sheetViews>
    <sheetView topLeftCell="A19" zoomScale="117" workbookViewId="0">
      <selection activeCell="I29" sqref="I29"/>
    </sheetView>
  </sheetViews>
  <sheetFormatPr baseColWidth="10" defaultRowHeight="16" x14ac:dyDescent="0.2"/>
  <cols>
    <col min="1" max="1" width="14.83203125" bestFit="1" customWidth="1"/>
    <col min="8" max="8" width="14.6640625" bestFit="1" customWidth="1"/>
    <col min="12" max="12" width="10.83203125" customWidth="1"/>
    <col min="13" max="13" width="14.6640625" bestFit="1" customWidth="1"/>
    <col min="15" max="15" width="11.1640625" bestFit="1" customWidth="1"/>
    <col min="16" max="16" width="14.83203125" bestFit="1" customWidth="1"/>
  </cols>
  <sheetData>
    <row r="1" spans="1:16" ht="34" x14ac:dyDescent="0.2">
      <c r="A1" t="s">
        <v>45</v>
      </c>
      <c r="B1" t="s">
        <v>46</v>
      </c>
      <c r="C1" t="s">
        <v>47</v>
      </c>
      <c r="D1" t="s">
        <v>51</v>
      </c>
      <c r="E1" t="s">
        <v>44</v>
      </c>
      <c r="H1" s="13" t="s">
        <v>44</v>
      </c>
      <c r="I1" t="s">
        <v>94</v>
      </c>
      <c r="L1" s="30" t="str" cm="1">
        <f t="array" ref="L1:P21">CHOOSE({1,2,3,4,5},E1:$E$21,$A$1:$A$21,$B$1:$B$21,$C$1:$C$21,$D$1:$D$21)</f>
        <v>Employee_ID</v>
      </c>
      <c r="M1" t="str">
        <v>Employee_Name</v>
      </c>
      <c r="N1" t="str">
        <v>Department</v>
      </c>
      <c r="O1" t="str">
        <v>Region</v>
      </c>
      <c r="P1" t="str">
        <v>Sales_Target</v>
      </c>
    </row>
    <row r="2" spans="1:16" x14ac:dyDescent="0.2">
      <c r="A2" t="s">
        <v>65</v>
      </c>
      <c r="B2" t="s">
        <v>66</v>
      </c>
      <c r="C2" t="s">
        <v>67</v>
      </c>
      <c r="D2">
        <v>50000</v>
      </c>
      <c r="E2" t="s">
        <v>64</v>
      </c>
      <c r="H2" t="s">
        <v>45</v>
      </c>
      <c r="I2" t="str">
        <f>VLOOKUP($I$1,_xlfn.ANCHORARRAY($L$1),ROW(),FALSE)</f>
        <v>Aditya Rao</v>
      </c>
      <c r="L2" t="str">
        <v>E001</v>
      </c>
      <c r="M2" t="str">
        <v>Aarav Mehta</v>
      </c>
      <c r="N2" t="str">
        <v>Sales</v>
      </c>
      <c r="O2" t="str">
        <v>West</v>
      </c>
      <c r="P2">
        <v>50000</v>
      </c>
    </row>
    <row r="3" spans="1:16" x14ac:dyDescent="0.2">
      <c r="A3" t="s">
        <v>73</v>
      </c>
      <c r="B3" t="s">
        <v>74</v>
      </c>
      <c r="C3" t="s">
        <v>75</v>
      </c>
      <c r="D3">
        <v>30000</v>
      </c>
      <c r="E3" t="s">
        <v>72</v>
      </c>
      <c r="H3" t="s">
        <v>46</v>
      </c>
      <c r="I3" t="str">
        <f t="shared" ref="I3:I5" si="0">VLOOKUP($I$1,_xlfn.ANCHORARRAY($L$1),ROW(),FALSE)</f>
        <v>Sales</v>
      </c>
      <c r="L3" t="str">
        <v>E002</v>
      </c>
      <c r="M3" t="str">
        <v>Neha Sharma</v>
      </c>
      <c r="N3" t="str">
        <v>HR</v>
      </c>
      <c r="O3" t="str">
        <v>North</v>
      </c>
      <c r="P3">
        <v>30000</v>
      </c>
    </row>
    <row r="4" spans="1:16" x14ac:dyDescent="0.2">
      <c r="A4" t="s">
        <v>81</v>
      </c>
      <c r="B4" t="s">
        <v>82</v>
      </c>
      <c r="C4" t="s">
        <v>83</v>
      </c>
      <c r="D4">
        <v>70000</v>
      </c>
      <c r="E4" t="s">
        <v>80</v>
      </c>
      <c r="H4" t="s">
        <v>47</v>
      </c>
      <c r="I4" t="str">
        <f t="shared" si="0"/>
        <v>West</v>
      </c>
      <c r="L4" t="str">
        <v>E003</v>
      </c>
      <c r="M4" t="str">
        <v>Rohan Iyer</v>
      </c>
      <c r="N4" t="str">
        <v>IT</v>
      </c>
      <c r="O4" t="str">
        <v>South</v>
      </c>
      <c r="P4">
        <v>70000</v>
      </c>
    </row>
    <row r="5" spans="1:16" x14ac:dyDescent="0.2">
      <c r="A5" t="s">
        <v>88</v>
      </c>
      <c r="B5" t="s">
        <v>89</v>
      </c>
      <c r="C5" t="s">
        <v>90</v>
      </c>
      <c r="D5">
        <v>45000</v>
      </c>
      <c r="E5" t="s">
        <v>87</v>
      </c>
      <c r="H5" t="s">
        <v>51</v>
      </c>
      <c r="I5">
        <f t="shared" si="0"/>
        <v>55000</v>
      </c>
      <c r="L5" t="str">
        <v>E004</v>
      </c>
      <c r="M5" t="str">
        <v>Priya Nair</v>
      </c>
      <c r="N5" t="str">
        <v>Finance</v>
      </c>
      <c r="O5" t="str">
        <v>East</v>
      </c>
      <c r="P5">
        <v>45000</v>
      </c>
    </row>
    <row r="6" spans="1:16" x14ac:dyDescent="0.2">
      <c r="A6" t="s">
        <v>95</v>
      </c>
      <c r="B6" t="s">
        <v>66</v>
      </c>
      <c r="C6" t="s">
        <v>67</v>
      </c>
      <c r="D6">
        <v>55000</v>
      </c>
      <c r="E6" t="s">
        <v>94</v>
      </c>
      <c r="L6" t="str">
        <v>E005</v>
      </c>
      <c r="M6" t="str">
        <v>Aditya Rao</v>
      </c>
      <c r="N6" t="str">
        <v>Sales</v>
      </c>
      <c r="O6" t="str">
        <v>West</v>
      </c>
      <c r="P6">
        <v>55000</v>
      </c>
    </row>
    <row r="7" spans="1:16" x14ac:dyDescent="0.2">
      <c r="A7" t="s">
        <v>100</v>
      </c>
      <c r="B7" t="s">
        <v>101</v>
      </c>
      <c r="C7" t="s">
        <v>75</v>
      </c>
      <c r="D7">
        <v>40000</v>
      </c>
      <c r="E7" t="s">
        <v>99</v>
      </c>
      <c r="L7" t="str">
        <v>E006</v>
      </c>
      <c r="M7" t="str">
        <v>Kavya Patel</v>
      </c>
      <c r="N7" t="str">
        <v>Marketing</v>
      </c>
      <c r="O7" t="str">
        <v>North</v>
      </c>
      <c r="P7">
        <v>40000</v>
      </c>
    </row>
    <row r="8" spans="1:16" x14ac:dyDescent="0.2">
      <c r="A8" t="s">
        <v>106</v>
      </c>
      <c r="B8" t="s">
        <v>82</v>
      </c>
      <c r="C8" t="s">
        <v>83</v>
      </c>
      <c r="D8">
        <v>72000</v>
      </c>
      <c r="E8" t="s">
        <v>105</v>
      </c>
      <c r="L8" t="str">
        <v>E007</v>
      </c>
      <c r="M8" t="str">
        <v>Vikram Singh</v>
      </c>
      <c r="N8" t="str">
        <v>IT</v>
      </c>
      <c r="O8" t="str">
        <v>South</v>
      </c>
      <c r="P8">
        <v>72000</v>
      </c>
    </row>
    <row r="9" spans="1:16" x14ac:dyDescent="0.2">
      <c r="A9" t="s">
        <v>111</v>
      </c>
      <c r="B9" t="s">
        <v>89</v>
      </c>
      <c r="C9" t="s">
        <v>90</v>
      </c>
      <c r="D9">
        <v>38000</v>
      </c>
      <c r="E9" t="s">
        <v>110</v>
      </c>
      <c r="L9" t="str">
        <v>E008</v>
      </c>
      <c r="M9" t="str">
        <v>Ananya Das</v>
      </c>
      <c r="N9" t="str">
        <v>Finance</v>
      </c>
      <c r="O9" t="str">
        <v>East</v>
      </c>
      <c r="P9">
        <v>38000</v>
      </c>
    </row>
    <row r="10" spans="1:16" x14ac:dyDescent="0.2">
      <c r="A10" t="s">
        <v>115</v>
      </c>
      <c r="B10" t="s">
        <v>74</v>
      </c>
      <c r="C10" t="s">
        <v>75</v>
      </c>
      <c r="D10">
        <v>31000</v>
      </c>
      <c r="E10" t="s">
        <v>114</v>
      </c>
      <c r="L10" t="str">
        <v>E009</v>
      </c>
      <c r="M10" t="str">
        <v>Rahul Joshi</v>
      </c>
      <c r="N10" t="str">
        <v>HR</v>
      </c>
      <c r="O10" t="str">
        <v>North</v>
      </c>
      <c r="P10">
        <v>31000</v>
      </c>
    </row>
    <row r="11" spans="1:16" x14ac:dyDescent="0.2">
      <c r="A11" t="s">
        <v>118</v>
      </c>
      <c r="B11" t="s">
        <v>101</v>
      </c>
      <c r="C11" t="s">
        <v>67</v>
      </c>
      <c r="D11">
        <v>48000</v>
      </c>
      <c r="E11" t="s">
        <v>117</v>
      </c>
      <c r="L11" t="str">
        <v>E010</v>
      </c>
      <c r="M11" t="str">
        <v>Simran Kaur</v>
      </c>
      <c r="N11" t="str">
        <v>Marketing</v>
      </c>
      <c r="O11" t="str">
        <v>West</v>
      </c>
      <c r="P11">
        <v>48000</v>
      </c>
    </row>
    <row r="12" spans="1:16" x14ac:dyDescent="0.2">
      <c r="A12" t="s">
        <v>122</v>
      </c>
      <c r="B12" t="s">
        <v>66</v>
      </c>
      <c r="C12" t="s">
        <v>83</v>
      </c>
      <c r="D12">
        <v>53000</v>
      </c>
      <c r="E12" t="s">
        <v>121</v>
      </c>
      <c r="G12">
        <v>2</v>
      </c>
      <c r="H12" t="str">
        <f>CHOOSE(G12,"MON","TUE","WED","THRU","FRI","SAT","SUN")</f>
        <v>TUE</v>
      </c>
      <c r="L12" t="str">
        <v>E011</v>
      </c>
      <c r="M12" t="str">
        <v>Arjun Verma</v>
      </c>
      <c r="N12" t="str">
        <v>Sales</v>
      </c>
      <c r="O12" t="str">
        <v>South</v>
      </c>
      <c r="P12">
        <v>53000</v>
      </c>
    </row>
    <row r="13" spans="1:16" x14ac:dyDescent="0.2">
      <c r="A13" t="s">
        <v>125</v>
      </c>
      <c r="B13" t="s">
        <v>82</v>
      </c>
      <c r="C13" t="s">
        <v>90</v>
      </c>
      <c r="D13">
        <v>85000</v>
      </c>
      <c r="E13" t="s">
        <v>124</v>
      </c>
      <c r="L13" t="str">
        <v>E012</v>
      </c>
      <c r="M13" t="str">
        <v>Sneha Kulkarni</v>
      </c>
      <c r="N13" t="str">
        <v>IT</v>
      </c>
      <c r="O13" t="str">
        <v>East</v>
      </c>
      <c r="P13">
        <v>85000</v>
      </c>
    </row>
    <row r="14" spans="1:16" x14ac:dyDescent="0.2">
      <c r="A14" t="s">
        <v>131</v>
      </c>
      <c r="B14" t="s">
        <v>89</v>
      </c>
      <c r="C14" t="s">
        <v>75</v>
      </c>
      <c r="D14">
        <v>41000</v>
      </c>
      <c r="E14" t="s">
        <v>130</v>
      </c>
      <c r="L14" t="str">
        <v>E013</v>
      </c>
      <c r="M14" t="str">
        <v>Manish Gupta</v>
      </c>
      <c r="N14" t="str">
        <v>Finance</v>
      </c>
      <c r="O14" t="str">
        <v>North</v>
      </c>
      <c r="P14">
        <v>41000</v>
      </c>
    </row>
    <row r="15" spans="1:16" x14ac:dyDescent="0.2">
      <c r="A15" t="s">
        <v>135</v>
      </c>
      <c r="B15" t="s">
        <v>74</v>
      </c>
      <c r="C15" t="s">
        <v>83</v>
      </c>
      <c r="D15">
        <v>36000</v>
      </c>
      <c r="E15" t="s">
        <v>134</v>
      </c>
      <c r="H15" s="13" t="s">
        <v>44</v>
      </c>
      <c r="L15" t="str">
        <v>E014</v>
      </c>
      <c r="M15" t="str">
        <v>Pooja Reddy</v>
      </c>
      <c r="N15" t="str">
        <v>HR</v>
      </c>
      <c r="O15" t="str">
        <v>South</v>
      </c>
      <c r="P15">
        <v>36000</v>
      </c>
    </row>
    <row r="16" spans="1:16" x14ac:dyDescent="0.2">
      <c r="A16" t="s">
        <v>140</v>
      </c>
      <c r="B16" t="s">
        <v>101</v>
      </c>
      <c r="C16" t="s">
        <v>67</v>
      </c>
      <c r="D16">
        <v>50000</v>
      </c>
      <c r="E16" t="s">
        <v>139</v>
      </c>
      <c r="H16" t="s">
        <v>45</v>
      </c>
      <c r="L16" t="str">
        <v>E015</v>
      </c>
      <c r="M16" t="str">
        <v>Karan Malhotra</v>
      </c>
      <c r="N16" t="str">
        <v>Marketing</v>
      </c>
      <c r="O16" t="str">
        <v>West</v>
      </c>
      <c r="P16">
        <v>50000</v>
      </c>
    </row>
    <row r="17" spans="1:16" x14ac:dyDescent="0.2">
      <c r="A17" t="s">
        <v>144</v>
      </c>
      <c r="B17" t="s">
        <v>82</v>
      </c>
      <c r="C17" t="s">
        <v>90</v>
      </c>
      <c r="D17">
        <v>78000</v>
      </c>
      <c r="E17" t="s">
        <v>143</v>
      </c>
      <c r="H17" t="s">
        <v>46</v>
      </c>
      <c r="L17" t="str">
        <v>E016</v>
      </c>
      <c r="M17" t="str">
        <v>Isha Banerjee</v>
      </c>
      <c r="N17" t="str">
        <v>IT</v>
      </c>
      <c r="O17" t="str">
        <v>East</v>
      </c>
      <c r="P17">
        <v>78000</v>
      </c>
    </row>
    <row r="18" spans="1:16" x14ac:dyDescent="0.2">
      <c r="A18" t="s">
        <v>147</v>
      </c>
      <c r="B18" t="s">
        <v>66</v>
      </c>
      <c r="C18" t="s">
        <v>75</v>
      </c>
      <c r="D18">
        <v>61000</v>
      </c>
      <c r="E18" t="s">
        <v>146</v>
      </c>
      <c r="H18" t="s">
        <v>47</v>
      </c>
      <c r="L18" t="str">
        <v>E017</v>
      </c>
      <c r="M18" t="str">
        <v>Dev Khanna</v>
      </c>
      <c r="N18" t="str">
        <v>Sales</v>
      </c>
      <c r="O18" t="str">
        <v>North</v>
      </c>
      <c r="P18">
        <v>61000</v>
      </c>
    </row>
    <row r="19" spans="1:16" x14ac:dyDescent="0.2">
      <c r="A19" t="s">
        <v>151</v>
      </c>
      <c r="B19" t="s">
        <v>89</v>
      </c>
      <c r="C19" t="s">
        <v>83</v>
      </c>
      <c r="D19">
        <v>39000</v>
      </c>
      <c r="E19" t="s">
        <v>150</v>
      </c>
      <c r="H19" t="s">
        <v>51</v>
      </c>
      <c r="L19" t="str">
        <v>E018</v>
      </c>
      <c r="M19" t="str">
        <v>Meera Pillai</v>
      </c>
      <c r="N19" t="str">
        <v>Finance</v>
      </c>
      <c r="O19" t="str">
        <v>South</v>
      </c>
      <c r="P19">
        <v>39000</v>
      </c>
    </row>
    <row r="20" spans="1:16" x14ac:dyDescent="0.2">
      <c r="A20" t="s">
        <v>155</v>
      </c>
      <c r="B20" t="s">
        <v>74</v>
      </c>
      <c r="C20" t="s">
        <v>67</v>
      </c>
      <c r="D20">
        <v>34000</v>
      </c>
      <c r="E20" t="s">
        <v>154</v>
      </c>
      <c r="L20" t="str">
        <v>E019</v>
      </c>
      <c r="M20" t="str">
        <v>Yash Thakur</v>
      </c>
      <c r="N20" t="str">
        <v>HR</v>
      </c>
      <c r="O20" t="str">
        <v>West</v>
      </c>
      <c r="P20">
        <v>34000</v>
      </c>
    </row>
    <row r="21" spans="1:16" x14ac:dyDescent="0.2">
      <c r="A21" t="s">
        <v>161</v>
      </c>
      <c r="B21" t="s">
        <v>101</v>
      </c>
      <c r="C21" t="s">
        <v>90</v>
      </c>
      <c r="D21">
        <v>46000</v>
      </c>
      <c r="E21" t="s">
        <v>160</v>
      </c>
      <c r="L21" t="str">
        <v>E020</v>
      </c>
      <c r="M21" t="str">
        <v>Ritika Sen</v>
      </c>
      <c r="N21" t="str">
        <v>Marketing</v>
      </c>
      <c r="O21" t="str">
        <v>East</v>
      </c>
      <c r="P21">
        <v>46000</v>
      </c>
    </row>
    <row r="28" spans="1:16" x14ac:dyDescent="0.2">
      <c r="H28" s="13" t="s">
        <v>44</v>
      </c>
      <c r="I28" t="s">
        <v>99</v>
      </c>
      <c r="L28" t="str" cm="1">
        <f t="array" ref="L28:P48">CHOOSE({1,2,3,4,5},E1:E21,A1:A21,B1:B21,C1:C21,D1:D21)</f>
        <v>Employee_ID</v>
      </c>
      <c r="M28" t="str">
        <v>Employee_Name</v>
      </c>
      <c r="N28" t="str">
        <v>Department</v>
      </c>
      <c r="O28" t="str">
        <v>Region</v>
      </c>
      <c r="P28" t="str">
        <v>Sales_Target</v>
      </c>
    </row>
    <row r="29" spans="1:16" x14ac:dyDescent="0.2">
      <c r="H29" t="s">
        <v>45</v>
      </c>
      <c r="I29" t="str">
        <f>VLOOKUP($I$28,_xlfn.ANCHORARRAY($L$28),ROW()-27,FALSE)</f>
        <v>Kavya Patel</v>
      </c>
      <c r="L29" t="str">
        <v>E001</v>
      </c>
      <c r="M29" t="str">
        <v>Aarav Mehta</v>
      </c>
      <c r="N29" t="str">
        <v>Sales</v>
      </c>
      <c r="O29" t="str">
        <v>West</v>
      </c>
      <c r="P29">
        <v>50000</v>
      </c>
    </row>
    <row r="30" spans="1:16" x14ac:dyDescent="0.2">
      <c r="H30" t="s">
        <v>46</v>
      </c>
      <c r="I30" t="str">
        <f t="shared" ref="I30:I32" si="1">VLOOKUP($I$28,_xlfn.ANCHORARRAY($L$28),ROW()-27,FALSE)</f>
        <v>Marketing</v>
      </c>
      <c r="L30" t="str">
        <v>E002</v>
      </c>
      <c r="M30" t="str">
        <v>Neha Sharma</v>
      </c>
      <c r="N30" t="str">
        <v>HR</v>
      </c>
      <c r="O30" t="str">
        <v>North</v>
      </c>
      <c r="P30">
        <v>30000</v>
      </c>
    </row>
    <row r="31" spans="1:16" x14ac:dyDescent="0.2">
      <c r="H31" t="s">
        <v>47</v>
      </c>
      <c r="I31" t="str">
        <f t="shared" si="1"/>
        <v>North</v>
      </c>
      <c r="L31" t="str">
        <v>E003</v>
      </c>
      <c r="M31" t="str">
        <v>Rohan Iyer</v>
      </c>
      <c r="N31" t="str">
        <v>IT</v>
      </c>
      <c r="O31" t="str">
        <v>South</v>
      </c>
      <c r="P31">
        <v>70000</v>
      </c>
    </row>
    <row r="32" spans="1:16" x14ac:dyDescent="0.2">
      <c r="H32" t="s">
        <v>51</v>
      </c>
      <c r="I32">
        <f t="shared" si="1"/>
        <v>40000</v>
      </c>
      <c r="L32" t="str">
        <v>E004</v>
      </c>
      <c r="M32" t="str">
        <v>Priya Nair</v>
      </c>
      <c r="N32" t="str">
        <v>Finance</v>
      </c>
      <c r="O32" t="str">
        <v>East</v>
      </c>
      <c r="P32">
        <v>45000</v>
      </c>
    </row>
    <row r="33" spans="7:16" x14ac:dyDescent="0.2">
      <c r="L33" t="str">
        <v>E005</v>
      </c>
      <c r="M33" t="str">
        <v>Aditya Rao</v>
      </c>
      <c r="N33" t="str">
        <v>Sales</v>
      </c>
      <c r="O33" t="str">
        <v>West</v>
      </c>
      <c r="P33">
        <v>55000</v>
      </c>
    </row>
    <row r="34" spans="7:16" x14ac:dyDescent="0.2">
      <c r="L34" t="str">
        <v>E006</v>
      </c>
      <c r="M34" t="str">
        <v>Kavya Patel</v>
      </c>
      <c r="N34" t="str">
        <v>Marketing</v>
      </c>
      <c r="O34" t="str">
        <v>North</v>
      </c>
      <c r="P34">
        <v>40000</v>
      </c>
    </row>
    <row r="35" spans="7:16" x14ac:dyDescent="0.2">
      <c r="G35">
        <v>3</v>
      </c>
      <c r="H35" t="str">
        <f>CHOOSE(G35,"MON","TUE","WED","THU","FRI","SAT","SUN")</f>
        <v>WED</v>
      </c>
      <c r="L35" t="str">
        <v>E007</v>
      </c>
      <c r="M35" t="str">
        <v>Vikram Singh</v>
      </c>
      <c r="N35" t="str">
        <v>IT</v>
      </c>
      <c r="O35" t="str">
        <v>South</v>
      </c>
      <c r="P35">
        <v>72000</v>
      </c>
    </row>
    <row r="36" spans="7:16" x14ac:dyDescent="0.2">
      <c r="L36" t="str">
        <v>E008</v>
      </c>
      <c r="M36" t="str">
        <v>Ananya Das</v>
      </c>
      <c r="N36" t="str">
        <v>Finance</v>
      </c>
      <c r="O36" t="str">
        <v>East</v>
      </c>
      <c r="P36">
        <v>38000</v>
      </c>
    </row>
    <row r="37" spans="7:16" x14ac:dyDescent="0.2">
      <c r="L37" t="str">
        <v>E009</v>
      </c>
      <c r="M37" t="str">
        <v>Rahul Joshi</v>
      </c>
      <c r="N37" t="str">
        <v>HR</v>
      </c>
      <c r="O37" t="str">
        <v>North</v>
      </c>
      <c r="P37">
        <v>31000</v>
      </c>
    </row>
    <row r="38" spans="7:16" x14ac:dyDescent="0.2">
      <c r="L38" t="str">
        <v>E010</v>
      </c>
      <c r="M38" t="str">
        <v>Simran Kaur</v>
      </c>
      <c r="N38" t="str">
        <v>Marketing</v>
      </c>
      <c r="O38" t="str">
        <v>West</v>
      </c>
      <c r="P38">
        <v>48000</v>
      </c>
    </row>
    <row r="39" spans="7:16" x14ac:dyDescent="0.2">
      <c r="L39" t="str">
        <v>E011</v>
      </c>
      <c r="M39" t="str">
        <v>Arjun Verma</v>
      </c>
      <c r="N39" t="str">
        <v>Sales</v>
      </c>
      <c r="O39" t="str">
        <v>South</v>
      </c>
      <c r="P39">
        <v>53000</v>
      </c>
    </row>
    <row r="40" spans="7:16" x14ac:dyDescent="0.2">
      <c r="L40" t="str">
        <v>E012</v>
      </c>
      <c r="M40" t="str">
        <v>Sneha Kulkarni</v>
      </c>
      <c r="N40" t="str">
        <v>IT</v>
      </c>
      <c r="O40" t="str">
        <v>East</v>
      </c>
      <c r="P40">
        <v>85000</v>
      </c>
    </row>
    <row r="41" spans="7:16" x14ac:dyDescent="0.2">
      <c r="L41" t="str">
        <v>E013</v>
      </c>
      <c r="M41" t="str">
        <v>Manish Gupta</v>
      </c>
      <c r="N41" t="str">
        <v>Finance</v>
      </c>
      <c r="O41" t="str">
        <v>North</v>
      </c>
      <c r="P41">
        <v>41000</v>
      </c>
    </row>
    <row r="42" spans="7:16" x14ac:dyDescent="0.2">
      <c r="L42" t="str">
        <v>E014</v>
      </c>
      <c r="M42" t="str">
        <v>Pooja Reddy</v>
      </c>
      <c r="N42" t="str">
        <v>HR</v>
      </c>
      <c r="O42" t="str">
        <v>South</v>
      </c>
      <c r="P42">
        <v>36000</v>
      </c>
    </row>
    <row r="43" spans="7:16" x14ac:dyDescent="0.2">
      <c r="L43" t="str">
        <v>E015</v>
      </c>
      <c r="M43" t="str">
        <v>Karan Malhotra</v>
      </c>
      <c r="N43" t="str">
        <v>Marketing</v>
      </c>
      <c r="O43" t="str">
        <v>West</v>
      </c>
      <c r="P43">
        <v>50000</v>
      </c>
    </row>
    <row r="44" spans="7:16" x14ac:dyDescent="0.2">
      <c r="L44" t="str">
        <v>E016</v>
      </c>
      <c r="M44" t="str">
        <v>Isha Banerjee</v>
      </c>
      <c r="N44" t="str">
        <v>IT</v>
      </c>
      <c r="O44" t="str">
        <v>East</v>
      </c>
      <c r="P44">
        <v>78000</v>
      </c>
    </row>
    <row r="45" spans="7:16" x14ac:dyDescent="0.2">
      <c r="L45" t="str">
        <v>E017</v>
      </c>
      <c r="M45" t="str">
        <v>Dev Khanna</v>
      </c>
      <c r="N45" t="str">
        <v>Sales</v>
      </c>
      <c r="O45" t="str">
        <v>North</v>
      </c>
      <c r="P45">
        <v>61000</v>
      </c>
    </row>
    <row r="46" spans="7:16" x14ac:dyDescent="0.2">
      <c r="L46" t="str">
        <v>E018</v>
      </c>
      <c r="M46" t="str">
        <v>Meera Pillai</v>
      </c>
      <c r="N46" t="str">
        <v>Finance</v>
      </c>
      <c r="O46" t="str">
        <v>South</v>
      </c>
      <c r="P46">
        <v>39000</v>
      </c>
    </row>
    <row r="47" spans="7:16" x14ac:dyDescent="0.2">
      <c r="L47" t="str">
        <v>E019</v>
      </c>
      <c r="M47" t="str">
        <v>Yash Thakur</v>
      </c>
      <c r="N47" t="str">
        <v>HR</v>
      </c>
      <c r="O47" t="str">
        <v>West</v>
      </c>
      <c r="P47">
        <v>34000</v>
      </c>
    </row>
    <row r="48" spans="7:16" x14ac:dyDescent="0.2">
      <c r="L48" t="str">
        <v>E020</v>
      </c>
      <c r="M48" t="str">
        <v>Ritika Sen</v>
      </c>
      <c r="N48" t="str">
        <v>Marketing</v>
      </c>
      <c r="O48" t="str">
        <v>East</v>
      </c>
      <c r="P48">
        <v>46000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5F76-5B0B-3C41-9EA2-F654EBFF7C8C}">
  <dimension ref="A1:M28"/>
  <sheetViews>
    <sheetView zoomScale="106" zoomScaleNormal="107" workbookViewId="0">
      <selection activeCell="J19" sqref="J19"/>
    </sheetView>
  </sheetViews>
  <sheetFormatPr baseColWidth="10" defaultRowHeight="16" x14ac:dyDescent="0.2"/>
  <cols>
    <col min="9" max="9" width="16.6640625" customWidth="1"/>
    <col min="10" max="10" width="11.6640625" bestFit="1" customWidth="1"/>
    <col min="13" max="13" width="15.33203125" bestFit="1" customWidth="1"/>
    <col min="14" max="14" width="13.83203125" customWidth="1"/>
  </cols>
  <sheetData>
    <row r="1" spans="1:13" x14ac:dyDescent="0.2">
      <c r="A1" t="s">
        <v>44</v>
      </c>
      <c r="B1" t="s">
        <v>473</v>
      </c>
      <c r="C1" t="s">
        <v>45</v>
      </c>
      <c r="D1" t="s">
        <v>46</v>
      </c>
      <c r="E1" t="s">
        <v>47</v>
      </c>
      <c r="F1" t="s">
        <v>51</v>
      </c>
    </row>
    <row r="2" spans="1:13" x14ac:dyDescent="0.2">
      <c r="A2" t="s">
        <v>64</v>
      </c>
      <c r="B2" t="s">
        <v>474</v>
      </c>
      <c r="C2" t="s">
        <v>65</v>
      </c>
      <c r="D2" t="s">
        <v>66</v>
      </c>
      <c r="E2" t="s">
        <v>67</v>
      </c>
      <c r="F2">
        <v>50000</v>
      </c>
    </row>
    <row r="3" spans="1:13" x14ac:dyDescent="0.2">
      <c r="A3" t="s">
        <v>72</v>
      </c>
      <c r="B3" t="s">
        <v>475</v>
      </c>
      <c r="C3" t="s">
        <v>73</v>
      </c>
      <c r="D3" t="s">
        <v>74</v>
      </c>
      <c r="E3" t="s">
        <v>75</v>
      </c>
      <c r="F3">
        <v>30000</v>
      </c>
    </row>
    <row r="4" spans="1:13" x14ac:dyDescent="0.2">
      <c r="A4" t="s">
        <v>80</v>
      </c>
      <c r="B4" t="s">
        <v>476</v>
      </c>
      <c r="C4" t="s">
        <v>81</v>
      </c>
      <c r="D4" t="s">
        <v>82</v>
      </c>
      <c r="E4" t="s">
        <v>83</v>
      </c>
      <c r="F4">
        <v>70000</v>
      </c>
      <c r="I4" s="13"/>
      <c r="J4" s="13"/>
    </row>
    <row r="5" spans="1:13" x14ac:dyDescent="0.2">
      <c r="A5" t="s">
        <v>87</v>
      </c>
      <c r="B5" t="s">
        <v>477</v>
      </c>
      <c r="C5" t="s">
        <v>88</v>
      </c>
      <c r="D5" t="s">
        <v>89</v>
      </c>
      <c r="E5" t="s">
        <v>90</v>
      </c>
      <c r="F5">
        <v>45000</v>
      </c>
    </row>
    <row r="6" spans="1:13" x14ac:dyDescent="0.2">
      <c r="A6" t="s">
        <v>94</v>
      </c>
      <c r="B6" t="s">
        <v>478</v>
      </c>
      <c r="C6" t="s">
        <v>95</v>
      </c>
      <c r="D6" t="s">
        <v>66</v>
      </c>
      <c r="E6" t="s">
        <v>67</v>
      </c>
      <c r="F6">
        <v>55000</v>
      </c>
    </row>
    <row r="7" spans="1:13" x14ac:dyDescent="0.2">
      <c r="A7" t="s">
        <v>99</v>
      </c>
      <c r="B7" t="s">
        <v>479</v>
      </c>
      <c r="C7" t="s">
        <v>100</v>
      </c>
      <c r="D7" t="s">
        <v>101</v>
      </c>
      <c r="E7" t="s">
        <v>75</v>
      </c>
      <c r="F7">
        <v>40000</v>
      </c>
    </row>
    <row r="8" spans="1:13" x14ac:dyDescent="0.2">
      <c r="A8" t="s">
        <v>105</v>
      </c>
      <c r="B8" t="s">
        <v>480</v>
      </c>
      <c r="C8" t="s">
        <v>106</v>
      </c>
      <c r="D8" t="s">
        <v>82</v>
      </c>
      <c r="E8" t="s">
        <v>83</v>
      </c>
      <c r="F8">
        <v>72000</v>
      </c>
    </row>
    <row r="9" spans="1:13" x14ac:dyDescent="0.2">
      <c r="A9" t="s">
        <v>110</v>
      </c>
      <c r="B9" t="s">
        <v>481</v>
      </c>
      <c r="C9" t="s">
        <v>111</v>
      </c>
      <c r="D9" t="s">
        <v>89</v>
      </c>
      <c r="E9" t="s">
        <v>90</v>
      </c>
      <c r="F9">
        <v>38000</v>
      </c>
    </row>
    <row r="10" spans="1:13" x14ac:dyDescent="0.2">
      <c r="A10" t="s">
        <v>114</v>
      </c>
      <c r="B10" t="s">
        <v>482</v>
      </c>
      <c r="C10" t="s">
        <v>115</v>
      </c>
      <c r="D10" t="s">
        <v>74</v>
      </c>
      <c r="E10" t="s">
        <v>75</v>
      </c>
      <c r="F10">
        <v>31000</v>
      </c>
      <c r="H10">
        <f>MATCH(I10,A1:F1,0)</f>
        <v>2</v>
      </c>
      <c r="I10" s="13" t="s">
        <v>473</v>
      </c>
      <c r="J10" t="s">
        <v>80</v>
      </c>
      <c r="M10" s="13"/>
    </row>
    <row r="11" spans="1:13" x14ac:dyDescent="0.2">
      <c r="A11" t="s">
        <v>117</v>
      </c>
      <c r="B11" t="s">
        <v>483</v>
      </c>
      <c r="C11" t="s">
        <v>118</v>
      </c>
      <c r="D11" t="s">
        <v>101</v>
      </c>
      <c r="E11" t="s">
        <v>67</v>
      </c>
      <c r="F11">
        <v>48000</v>
      </c>
      <c r="I11" s="25" t="s">
        <v>45</v>
      </c>
      <c r="J11" t="str">
        <f>IFERROR(VLOOKUP($J$10,$A$1:$F$21,ROW()-8,FALSE),VLOOKUP($J$10,$B$1:$F$21,ROW()-9,FALSE))</f>
        <v>Rohan Iyer</v>
      </c>
      <c r="M11" s="25"/>
    </row>
    <row r="12" spans="1:13" x14ac:dyDescent="0.2">
      <c r="A12" t="s">
        <v>121</v>
      </c>
      <c r="B12" t="s">
        <v>484</v>
      </c>
      <c r="C12" t="s">
        <v>122</v>
      </c>
      <c r="D12" t="s">
        <v>66</v>
      </c>
      <c r="E12" t="s">
        <v>83</v>
      </c>
      <c r="F12">
        <v>53000</v>
      </c>
      <c r="I12" s="25" t="s">
        <v>46</v>
      </c>
      <c r="J12" t="str">
        <f t="shared" ref="J12:J14" si="0">IFERROR(VLOOKUP($J$10,$A$1:$F$21,ROW()-8,FALSE),VLOOKUP($J$10,$B$1:$F$21,ROW()-9,FALSE))</f>
        <v>IT</v>
      </c>
      <c r="M12" s="25"/>
    </row>
    <row r="13" spans="1:13" x14ac:dyDescent="0.2">
      <c r="A13" t="s">
        <v>124</v>
      </c>
      <c r="B13" t="s">
        <v>485</v>
      </c>
      <c r="C13" t="s">
        <v>125</v>
      </c>
      <c r="D13" t="s">
        <v>82</v>
      </c>
      <c r="E13" t="s">
        <v>90</v>
      </c>
      <c r="F13">
        <v>85000</v>
      </c>
      <c r="I13" s="25" t="s">
        <v>47</v>
      </c>
      <c r="J13" t="str">
        <f t="shared" si="0"/>
        <v>South</v>
      </c>
      <c r="M13" s="25"/>
    </row>
    <row r="14" spans="1:13" x14ac:dyDescent="0.2">
      <c r="A14" t="s">
        <v>130</v>
      </c>
      <c r="B14" t="s">
        <v>486</v>
      </c>
      <c r="C14" t="s">
        <v>131</v>
      </c>
      <c r="D14" t="s">
        <v>89</v>
      </c>
      <c r="E14" t="s">
        <v>75</v>
      </c>
      <c r="F14">
        <v>41000</v>
      </c>
      <c r="I14" s="25" t="s">
        <v>51</v>
      </c>
      <c r="J14">
        <f t="shared" si="0"/>
        <v>70000</v>
      </c>
      <c r="M14" s="25"/>
    </row>
    <row r="15" spans="1:13" x14ac:dyDescent="0.2">
      <c r="A15" t="s">
        <v>134</v>
      </c>
      <c r="B15" t="s">
        <v>487</v>
      </c>
      <c r="C15" t="s">
        <v>135</v>
      </c>
      <c r="D15" t="s">
        <v>74</v>
      </c>
      <c r="E15" t="s">
        <v>83</v>
      </c>
      <c r="F15">
        <v>36000</v>
      </c>
    </row>
    <row r="16" spans="1:13" x14ac:dyDescent="0.2">
      <c r="A16" t="s">
        <v>139</v>
      </c>
      <c r="B16" t="s">
        <v>488</v>
      </c>
      <c r="C16" t="s">
        <v>140</v>
      </c>
      <c r="D16" t="s">
        <v>101</v>
      </c>
      <c r="E16" t="s">
        <v>67</v>
      </c>
      <c r="F16">
        <v>50000</v>
      </c>
    </row>
    <row r="17" spans="1:10" x14ac:dyDescent="0.2">
      <c r="A17" t="s">
        <v>143</v>
      </c>
      <c r="B17" t="s">
        <v>489</v>
      </c>
      <c r="C17" t="s">
        <v>144</v>
      </c>
      <c r="D17" t="s">
        <v>82</v>
      </c>
      <c r="E17" t="s">
        <v>90</v>
      </c>
      <c r="F17">
        <v>78000</v>
      </c>
    </row>
    <row r="18" spans="1:10" x14ac:dyDescent="0.2">
      <c r="A18" t="s">
        <v>146</v>
      </c>
      <c r="B18" t="s">
        <v>490</v>
      </c>
      <c r="C18" t="s">
        <v>147</v>
      </c>
      <c r="D18" t="s">
        <v>66</v>
      </c>
      <c r="E18" t="s">
        <v>75</v>
      </c>
      <c r="F18">
        <v>61000</v>
      </c>
    </row>
    <row r="19" spans="1:10" x14ac:dyDescent="0.2">
      <c r="A19" t="s">
        <v>150</v>
      </c>
      <c r="B19" t="s">
        <v>491</v>
      </c>
      <c r="C19" t="s">
        <v>151</v>
      </c>
      <c r="D19" t="s">
        <v>89</v>
      </c>
      <c r="E19" t="s">
        <v>83</v>
      </c>
      <c r="F19">
        <v>39000</v>
      </c>
      <c r="H19">
        <f>MATCH(I19,A1:F1,0)</f>
        <v>1</v>
      </c>
      <c r="I19" s="13" t="s">
        <v>44</v>
      </c>
      <c r="J19" t="s">
        <v>105</v>
      </c>
    </row>
    <row r="20" spans="1:10" x14ac:dyDescent="0.2">
      <c r="A20" t="s">
        <v>154</v>
      </c>
      <c r="B20" t="s">
        <v>492</v>
      </c>
      <c r="C20" t="s">
        <v>155</v>
      </c>
      <c r="D20" t="s">
        <v>74</v>
      </c>
      <c r="E20" t="s">
        <v>67</v>
      </c>
      <c r="F20">
        <v>34000</v>
      </c>
      <c r="I20" s="25" t="s">
        <v>45</v>
      </c>
      <c r="J20" t="str">
        <f>IFERROR(VLOOKUP($J$19,$A$1:$F$21,ROW()-17,FALSE),VLOOKUP($J$19,$B$1:$F$21,ROW()-18,FALSE))</f>
        <v>Vikram Singh</v>
      </c>
    </row>
    <row r="21" spans="1:10" x14ac:dyDescent="0.2">
      <c r="A21" t="s">
        <v>160</v>
      </c>
      <c r="B21" t="s">
        <v>493</v>
      </c>
      <c r="C21" t="s">
        <v>161</v>
      </c>
      <c r="D21" t="s">
        <v>101</v>
      </c>
      <c r="E21" t="s">
        <v>90</v>
      </c>
      <c r="F21">
        <v>46000</v>
      </c>
      <c r="I21" s="25" t="s">
        <v>46</v>
      </c>
      <c r="J21" t="str">
        <f t="shared" ref="J21:J23" si="1">IFERROR(VLOOKUP($J$19,$A$1:$F$21,ROW()-17,FALSE),VLOOKUP($J$19,$B$1:$F$21,ROW()-18,FALSE))</f>
        <v>IT</v>
      </c>
    </row>
    <row r="22" spans="1:10" x14ac:dyDescent="0.2">
      <c r="I22" s="25" t="s">
        <v>47</v>
      </c>
      <c r="J22" t="str">
        <f t="shared" si="1"/>
        <v>South</v>
      </c>
    </row>
    <row r="23" spans="1:10" x14ac:dyDescent="0.2">
      <c r="I23" s="25" t="s">
        <v>51</v>
      </c>
      <c r="J23">
        <f t="shared" si="1"/>
        <v>72000</v>
      </c>
    </row>
    <row r="24" spans="1:10" x14ac:dyDescent="0.2">
      <c r="I24" s="13"/>
    </row>
    <row r="25" spans="1:10" x14ac:dyDescent="0.2">
      <c r="I25" s="25"/>
    </row>
    <row r="26" spans="1:10" x14ac:dyDescent="0.2">
      <c r="I26" s="25"/>
    </row>
    <row r="27" spans="1:10" x14ac:dyDescent="0.2">
      <c r="I27" s="25"/>
    </row>
    <row r="28" spans="1:10" x14ac:dyDescent="0.2">
      <c r="I28" s="25"/>
    </row>
  </sheetData>
  <dataValidations count="4">
    <dataValidation type="list" allowBlank="1" showInputMessage="1" showErrorMessage="1" sqref="I10 M10 I24 I19" xr:uid="{3AA1F858-C56B-5B40-B94B-43A7D9782CD9}">
      <formula1>$A$1:$B$1</formula1>
    </dataValidation>
    <dataValidation type="list" allowBlank="1" showInputMessage="1" showErrorMessage="1" sqref="J10" xr:uid="{91AD8762-3E03-AD48-97AB-0C5F9BED0745}">
      <formula1>INDEX(A1:F21,,MATCH(I10,A1:F1,0))</formula1>
    </dataValidation>
    <dataValidation type="list" allowBlank="1" showInputMessage="1" showErrorMessage="1" sqref="J24" xr:uid="{A3772E0A-C6A1-2A43-84F9-E7932F9ABB11}">
      <formula1>$A:$A</formula1>
    </dataValidation>
    <dataValidation type="list" allowBlank="1" showInputMessage="1" showErrorMessage="1" sqref="J19" xr:uid="{08DB8B13-22D6-3B4D-BAF3-AFBB15BE0CE4}">
      <formula1>INDEX(A1:F21,,MATCH(I19,A1:F1,0))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6977A-2454-3449-B24A-26E0D96ED016}">
  <dimension ref="A1:M17"/>
  <sheetViews>
    <sheetView topLeftCell="D1" zoomScale="150" workbookViewId="0">
      <selection activeCell="N12" sqref="N12"/>
    </sheetView>
  </sheetViews>
  <sheetFormatPr baseColWidth="10" defaultRowHeight="16" x14ac:dyDescent="0.2"/>
  <cols>
    <col min="8" max="8" width="12.33203125" bestFit="1" customWidth="1"/>
  </cols>
  <sheetData>
    <row r="1" spans="1:13" x14ac:dyDescent="0.2">
      <c r="B1" t="s">
        <v>494</v>
      </c>
      <c r="G1" t="s">
        <v>495</v>
      </c>
      <c r="L1" t="s">
        <v>496</v>
      </c>
    </row>
    <row r="2" spans="1:13" x14ac:dyDescent="0.2">
      <c r="A2" t="s">
        <v>497</v>
      </c>
      <c r="B2" t="s">
        <v>498</v>
      </c>
      <c r="C2" t="s">
        <v>499</v>
      </c>
      <c r="F2" t="s">
        <v>497</v>
      </c>
      <c r="G2" t="s">
        <v>498</v>
      </c>
      <c r="H2" t="s">
        <v>499</v>
      </c>
      <c r="K2" t="s">
        <v>497</v>
      </c>
      <c r="L2" t="s">
        <v>498</v>
      </c>
      <c r="M2" t="s">
        <v>499</v>
      </c>
    </row>
    <row r="3" spans="1:13" x14ac:dyDescent="0.2">
      <c r="A3">
        <v>3001</v>
      </c>
      <c r="B3" t="s">
        <v>500</v>
      </c>
      <c r="C3" t="s">
        <v>501</v>
      </c>
      <c r="F3">
        <v>3011</v>
      </c>
      <c r="G3" t="s">
        <v>502</v>
      </c>
      <c r="H3" t="s">
        <v>501</v>
      </c>
      <c r="K3">
        <v>3021</v>
      </c>
      <c r="L3" t="s">
        <v>503</v>
      </c>
      <c r="M3" t="s">
        <v>504</v>
      </c>
    </row>
    <row r="4" spans="1:13" x14ac:dyDescent="0.2">
      <c r="A4">
        <v>3002</v>
      </c>
      <c r="B4" t="s">
        <v>505</v>
      </c>
      <c r="C4" t="s">
        <v>501</v>
      </c>
      <c r="F4">
        <v>3012</v>
      </c>
      <c r="G4" t="s">
        <v>506</v>
      </c>
      <c r="H4" t="s">
        <v>501</v>
      </c>
      <c r="K4">
        <v>3022</v>
      </c>
      <c r="L4" t="s">
        <v>507</v>
      </c>
      <c r="M4" t="s">
        <v>508</v>
      </c>
    </row>
    <row r="5" spans="1:13" x14ac:dyDescent="0.2">
      <c r="A5">
        <v>3003</v>
      </c>
      <c r="B5" t="s">
        <v>509</v>
      </c>
      <c r="C5" t="s">
        <v>501</v>
      </c>
      <c r="F5">
        <v>3013</v>
      </c>
      <c r="G5" t="s">
        <v>510</v>
      </c>
      <c r="H5" t="s">
        <v>501</v>
      </c>
      <c r="K5">
        <v>3023</v>
      </c>
      <c r="L5" t="s">
        <v>511</v>
      </c>
      <c r="M5" t="s">
        <v>512</v>
      </c>
    </row>
    <row r="6" spans="1:13" x14ac:dyDescent="0.2">
      <c r="A6">
        <v>3004</v>
      </c>
      <c r="B6" t="s">
        <v>513</v>
      </c>
      <c r="C6" t="s">
        <v>501</v>
      </c>
      <c r="F6">
        <v>3014</v>
      </c>
      <c r="G6" t="s">
        <v>514</v>
      </c>
      <c r="H6" t="s">
        <v>501</v>
      </c>
      <c r="K6">
        <v>3024</v>
      </c>
      <c r="L6" t="s">
        <v>515</v>
      </c>
      <c r="M6" t="s">
        <v>516</v>
      </c>
    </row>
    <row r="7" spans="1:13" x14ac:dyDescent="0.2">
      <c r="A7">
        <v>3005</v>
      </c>
      <c r="B7" t="s">
        <v>517</v>
      </c>
      <c r="C7" t="s">
        <v>501</v>
      </c>
      <c r="F7">
        <v>3015</v>
      </c>
      <c r="G7" t="s">
        <v>518</v>
      </c>
      <c r="H7" t="s">
        <v>501</v>
      </c>
      <c r="K7">
        <v>3025</v>
      </c>
      <c r="L7" t="s">
        <v>519</v>
      </c>
      <c r="M7" t="s">
        <v>520</v>
      </c>
    </row>
    <row r="8" spans="1:13" x14ac:dyDescent="0.2">
      <c r="A8">
        <v>3006</v>
      </c>
      <c r="B8" t="s">
        <v>521</v>
      </c>
      <c r="C8" t="s">
        <v>501</v>
      </c>
      <c r="F8">
        <v>3016</v>
      </c>
      <c r="G8" t="s">
        <v>522</v>
      </c>
      <c r="H8" t="s">
        <v>501</v>
      </c>
      <c r="K8">
        <v>3026</v>
      </c>
      <c r="L8" t="s">
        <v>523</v>
      </c>
      <c r="M8" t="s">
        <v>501</v>
      </c>
    </row>
    <row r="9" spans="1:13" x14ac:dyDescent="0.2">
      <c r="A9">
        <v>3007</v>
      </c>
      <c r="B9" t="s">
        <v>524</v>
      </c>
      <c r="C9" t="s">
        <v>501</v>
      </c>
      <c r="F9">
        <v>3017</v>
      </c>
      <c r="G9" t="s">
        <v>525</v>
      </c>
      <c r="H9" t="s">
        <v>504</v>
      </c>
      <c r="K9">
        <v>3027</v>
      </c>
      <c r="L9" t="s">
        <v>526</v>
      </c>
      <c r="M9" t="s">
        <v>527</v>
      </c>
    </row>
    <row r="10" spans="1:13" x14ac:dyDescent="0.2">
      <c r="A10">
        <v>3008</v>
      </c>
      <c r="B10" t="s">
        <v>528</v>
      </c>
      <c r="C10" t="s">
        <v>501</v>
      </c>
      <c r="F10">
        <v>3018</v>
      </c>
      <c r="G10" t="s">
        <v>529</v>
      </c>
      <c r="H10" t="s">
        <v>504</v>
      </c>
      <c r="K10">
        <v>3028</v>
      </c>
      <c r="L10" t="s">
        <v>530</v>
      </c>
      <c r="M10" t="s">
        <v>531</v>
      </c>
    </row>
    <row r="11" spans="1:13" x14ac:dyDescent="0.2">
      <c r="A11">
        <v>3009</v>
      </c>
      <c r="B11" t="s">
        <v>532</v>
      </c>
      <c r="C11" t="s">
        <v>501</v>
      </c>
      <c r="F11">
        <v>3019</v>
      </c>
      <c r="G11" t="s">
        <v>533</v>
      </c>
      <c r="H11" t="s">
        <v>504</v>
      </c>
      <c r="K11">
        <v>3029</v>
      </c>
      <c r="L11" t="s">
        <v>534</v>
      </c>
      <c r="M11" t="s">
        <v>535</v>
      </c>
    </row>
    <row r="12" spans="1:13" x14ac:dyDescent="0.2">
      <c r="A12">
        <v>3010</v>
      </c>
      <c r="B12" t="s">
        <v>536</v>
      </c>
      <c r="C12" t="s">
        <v>501</v>
      </c>
      <c r="F12">
        <v>3020</v>
      </c>
      <c r="G12" t="s">
        <v>537</v>
      </c>
      <c r="H12" t="s">
        <v>504</v>
      </c>
      <c r="K12">
        <v>3030</v>
      </c>
      <c r="L12" t="s">
        <v>538</v>
      </c>
      <c r="M12" t="s">
        <v>535</v>
      </c>
    </row>
    <row r="15" spans="1:13" x14ac:dyDescent="0.2">
      <c r="G15" s="25" t="s">
        <v>497</v>
      </c>
      <c r="H15">
        <v>3023</v>
      </c>
    </row>
    <row r="16" spans="1:13" x14ac:dyDescent="0.2">
      <c r="G16" s="25" t="s">
        <v>498</v>
      </c>
      <c r="H16" t="str">
        <f>VLOOKUP($H$15,IF($H$15&lt;=3010,$A$2:$C$12,IF($H$15&lt;=3020,$F$2:$H$12,IF($H$15&lt;=3030,$K$2:$M$12))),2,FALSE)</f>
        <v>Nick Fury</v>
      </c>
    </row>
    <row r="17" spans="7:8" x14ac:dyDescent="0.2">
      <c r="G17" s="25" t="s">
        <v>499</v>
      </c>
      <c r="H17" t="str">
        <f>VLOOKUP($H$15,IF($H$15&lt;=3010,$A$2:$C$12,IF($H$15&lt;=3020,$F$2:$H$12,IF($H$15&lt;=3030,$K$2:$M$12))),3,FALSE)</f>
        <v>S.H.I.E.L.D.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1CC42-E8C2-7347-B5DF-61B10929DFC5}">
  <dimension ref="A1:J27"/>
  <sheetViews>
    <sheetView topLeftCell="A9" zoomScale="139" workbookViewId="0">
      <selection activeCell="K9" sqref="K1:K1048576"/>
    </sheetView>
  </sheetViews>
  <sheetFormatPr baseColWidth="10" defaultRowHeight="16" x14ac:dyDescent="0.2"/>
  <cols>
    <col min="1" max="1" width="14.6640625" bestFit="1" customWidth="1"/>
    <col min="2" max="2" width="11" bestFit="1" customWidth="1"/>
    <col min="3" max="3" width="11.6640625" bestFit="1" customWidth="1"/>
    <col min="4" max="4" width="12.1640625" customWidth="1"/>
    <col min="9" max="9" width="16.1640625" customWidth="1"/>
    <col min="10" max="10" width="13.5" bestFit="1" customWidth="1"/>
  </cols>
  <sheetData>
    <row r="1" spans="1:10" x14ac:dyDescent="0.2">
      <c r="A1" t="s">
        <v>45</v>
      </c>
      <c r="B1" t="s">
        <v>46</v>
      </c>
      <c r="C1" t="s">
        <v>44</v>
      </c>
      <c r="D1" t="s">
        <v>47</v>
      </c>
      <c r="E1" t="s">
        <v>51</v>
      </c>
    </row>
    <row r="2" spans="1:10" x14ac:dyDescent="0.2">
      <c r="A2" t="s">
        <v>65</v>
      </c>
      <c r="B2" t="s">
        <v>66</v>
      </c>
      <c r="C2" t="s">
        <v>64</v>
      </c>
      <c r="D2" t="s">
        <v>67</v>
      </c>
      <c r="E2">
        <v>50000</v>
      </c>
      <c r="I2" s="25" t="s">
        <v>44</v>
      </c>
      <c r="J2" t="s">
        <v>110</v>
      </c>
    </row>
    <row r="3" spans="1:10" x14ac:dyDescent="0.2">
      <c r="A3" t="s">
        <v>73</v>
      </c>
      <c r="B3" t="s">
        <v>74</v>
      </c>
      <c r="C3" t="s">
        <v>72</v>
      </c>
      <c r="D3" t="s">
        <v>75</v>
      </c>
      <c r="E3">
        <v>30000</v>
      </c>
      <c r="I3" s="25" t="s">
        <v>45</v>
      </c>
      <c r="J3" t="str">
        <f>_xlfn.XLOOKUP($J$2,C1:C21,A1:A21,,0)</f>
        <v>Ananya Das</v>
      </c>
    </row>
    <row r="4" spans="1:10" x14ac:dyDescent="0.2">
      <c r="A4" t="s">
        <v>81</v>
      </c>
      <c r="B4" t="s">
        <v>82</v>
      </c>
      <c r="C4" t="s">
        <v>80</v>
      </c>
      <c r="D4" t="s">
        <v>83</v>
      </c>
      <c r="E4">
        <v>70000</v>
      </c>
      <c r="I4" s="25" t="s">
        <v>46</v>
      </c>
      <c r="J4" t="str" cm="1">
        <f t="array" ref="J4">_xlfn.XLOOKUP($J$2,$C$1:$C$21,INDEX($A$1:$E$21,,MATCH(I4,$A$1:$E$1,0)))</f>
        <v>Finance</v>
      </c>
    </row>
    <row r="5" spans="1:10" x14ac:dyDescent="0.2">
      <c r="A5" t="s">
        <v>88</v>
      </c>
      <c r="B5" t="s">
        <v>89</v>
      </c>
      <c r="C5" t="s">
        <v>87</v>
      </c>
      <c r="D5" t="s">
        <v>90</v>
      </c>
      <c r="E5">
        <v>45000</v>
      </c>
      <c r="I5" s="25" t="s">
        <v>47</v>
      </c>
      <c r="J5" t="str" cm="1">
        <f t="array" ref="J5">_xlfn.XLOOKUP($J$2,$C$1:$C$21,INDEX($A$1:$E$21,,MATCH(I5,$A$1:$E$1,0)))</f>
        <v>East</v>
      </c>
    </row>
    <row r="6" spans="1:10" x14ac:dyDescent="0.2">
      <c r="A6" t="s">
        <v>95</v>
      </c>
      <c r="B6" t="s">
        <v>66</v>
      </c>
      <c r="C6" t="s">
        <v>94</v>
      </c>
      <c r="D6" t="s">
        <v>67</v>
      </c>
      <c r="E6">
        <v>55000</v>
      </c>
      <c r="I6" s="25" t="s">
        <v>51</v>
      </c>
      <c r="J6" cm="1">
        <f t="array" ref="J6">_xlfn.XLOOKUP($J$2,$C$1:$C$21,INDEX($A$1:$E$21,,MATCH(I6,$A$1:$E$1,0)))</f>
        <v>38000</v>
      </c>
    </row>
    <row r="7" spans="1:10" x14ac:dyDescent="0.2">
      <c r="A7" t="s">
        <v>100</v>
      </c>
      <c r="B7" t="s">
        <v>101</v>
      </c>
      <c r="C7" t="s">
        <v>99</v>
      </c>
      <c r="D7" t="s">
        <v>75</v>
      </c>
      <c r="E7">
        <v>40000</v>
      </c>
    </row>
    <row r="8" spans="1:10" x14ac:dyDescent="0.2">
      <c r="A8" t="s">
        <v>106</v>
      </c>
      <c r="B8" t="s">
        <v>82</v>
      </c>
      <c r="C8" t="s">
        <v>105</v>
      </c>
      <c r="D8" t="s">
        <v>83</v>
      </c>
      <c r="E8">
        <v>72000</v>
      </c>
    </row>
    <row r="9" spans="1:10" x14ac:dyDescent="0.2">
      <c r="A9" t="s">
        <v>111</v>
      </c>
      <c r="B9" t="s">
        <v>89</v>
      </c>
      <c r="C9" t="s">
        <v>110</v>
      </c>
      <c r="D9" t="s">
        <v>90</v>
      </c>
      <c r="E9">
        <v>38000</v>
      </c>
    </row>
    <row r="10" spans="1:10" x14ac:dyDescent="0.2">
      <c r="A10" t="s">
        <v>115</v>
      </c>
      <c r="B10" t="s">
        <v>74</v>
      </c>
      <c r="C10" t="s">
        <v>114</v>
      </c>
      <c r="D10" t="s">
        <v>75</v>
      </c>
      <c r="E10">
        <v>31000</v>
      </c>
    </row>
    <row r="11" spans="1:10" x14ac:dyDescent="0.2">
      <c r="A11" t="s">
        <v>118</v>
      </c>
      <c r="B11" t="s">
        <v>101</v>
      </c>
      <c r="C11" t="s">
        <v>117</v>
      </c>
      <c r="D11" t="s">
        <v>67</v>
      </c>
      <c r="E11">
        <v>48000</v>
      </c>
    </row>
    <row r="12" spans="1:10" x14ac:dyDescent="0.2">
      <c r="A12" t="s">
        <v>122</v>
      </c>
      <c r="B12" t="s">
        <v>66</v>
      </c>
      <c r="C12" t="s">
        <v>121</v>
      </c>
      <c r="D12" t="s">
        <v>83</v>
      </c>
      <c r="E12">
        <v>53000</v>
      </c>
    </row>
    <row r="13" spans="1:10" x14ac:dyDescent="0.2">
      <c r="A13" t="s">
        <v>125</v>
      </c>
      <c r="B13" t="s">
        <v>82</v>
      </c>
      <c r="C13" t="s">
        <v>124</v>
      </c>
      <c r="D13" t="s">
        <v>90</v>
      </c>
      <c r="E13">
        <v>85000</v>
      </c>
      <c r="I13" s="28" t="s">
        <v>44</v>
      </c>
      <c r="J13" t="s">
        <v>114</v>
      </c>
    </row>
    <row r="14" spans="1:10" x14ac:dyDescent="0.2">
      <c r="A14" t="s">
        <v>131</v>
      </c>
      <c r="B14" t="s">
        <v>89</v>
      </c>
      <c r="C14" t="s">
        <v>130</v>
      </c>
      <c r="D14" t="s">
        <v>75</v>
      </c>
      <c r="E14">
        <v>41000</v>
      </c>
      <c r="I14" s="25" t="s">
        <v>45</v>
      </c>
      <c r="J14" t="str">
        <f>_xlfn.XLOOKUP($J$13,C1:C21,A1:A21,,0)</f>
        <v>Rahul Joshi</v>
      </c>
    </row>
    <row r="15" spans="1:10" x14ac:dyDescent="0.2">
      <c r="A15" t="s">
        <v>135</v>
      </c>
      <c r="B15" t="s">
        <v>74</v>
      </c>
      <c r="C15" t="s">
        <v>134</v>
      </c>
      <c r="D15" t="s">
        <v>83</v>
      </c>
      <c r="E15">
        <v>36000</v>
      </c>
      <c r="I15" s="25" t="s">
        <v>46</v>
      </c>
      <c r="J15" t="str" cm="1">
        <f t="array" ref="J15">_xlfn.XLOOKUP($J$13,$C$1:$C$21,INDEX($A$1:$E$21,,MATCH(I15,$A$1:$E$1,0)))</f>
        <v>HR</v>
      </c>
    </row>
    <row r="16" spans="1:10" x14ac:dyDescent="0.2">
      <c r="A16" t="s">
        <v>140</v>
      </c>
      <c r="B16" t="s">
        <v>101</v>
      </c>
      <c r="C16" t="s">
        <v>139</v>
      </c>
      <c r="D16" t="s">
        <v>67</v>
      </c>
      <c r="E16">
        <v>50000</v>
      </c>
      <c r="I16" s="25" t="s">
        <v>47</v>
      </c>
      <c r="J16" t="str" cm="1">
        <f t="array" ref="J16">_xlfn.XLOOKUP($J$13,$C$1:$C$21,INDEX($A$1:$E$21,,MATCH(I16,$A$1:$E$1,0)))</f>
        <v>North</v>
      </c>
    </row>
    <row r="17" spans="1:10" x14ac:dyDescent="0.2">
      <c r="A17" t="s">
        <v>144</v>
      </c>
      <c r="B17" t="s">
        <v>82</v>
      </c>
      <c r="C17" t="s">
        <v>143</v>
      </c>
      <c r="D17" t="s">
        <v>90</v>
      </c>
      <c r="E17">
        <v>78000</v>
      </c>
      <c r="I17" s="25" t="s">
        <v>51</v>
      </c>
      <c r="J17" cm="1">
        <f t="array" ref="J17">_xlfn.XLOOKUP($J$13,$C$1:$C$21,INDEX($A$1:$E$21,,MATCH(I17,$A$1:$E$1,0)))</f>
        <v>31000</v>
      </c>
    </row>
    <row r="18" spans="1:10" x14ac:dyDescent="0.2">
      <c r="A18" t="s">
        <v>147</v>
      </c>
      <c r="B18" t="s">
        <v>66</v>
      </c>
      <c r="C18" t="s">
        <v>146</v>
      </c>
      <c r="D18" t="s">
        <v>75</v>
      </c>
      <c r="E18">
        <v>61000</v>
      </c>
    </row>
    <row r="19" spans="1:10" x14ac:dyDescent="0.2">
      <c r="A19" t="s">
        <v>151</v>
      </c>
      <c r="B19" t="s">
        <v>89</v>
      </c>
      <c r="C19" t="s">
        <v>150</v>
      </c>
      <c r="D19" t="s">
        <v>83</v>
      </c>
      <c r="E19">
        <v>39000</v>
      </c>
    </row>
    <row r="20" spans="1:10" x14ac:dyDescent="0.2">
      <c r="A20" t="s">
        <v>155</v>
      </c>
      <c r="B20" t="s">
        <v>74</v>
      </c>
      <c r="C20" t="s">
        <v>154</v>
      </c>
      <c r="D20" t="s">
        <v>67</v>
      </c>
      <c r="E20">
        <v>34000</v>
      </c>
    </row>
    <row r="21" spans="1:10" x14ac:dyDescent="0.2">
      <c r="A21" t="s">
        <v>161</v>
      </c>
      <c r="B21" t="s">
        <v>101</v>
      </c>
      <c r="C21" t="s">
        <v>160</v>
      </c>
      <c r="D21" t="s">
        <v>90</v>
      </c>
      <c r="E21">
        <v>46000</v>
      </c>
    </row>
    <row r="23" spans="1:10" x14ac:dyDescent="0.2">
      <c r="I23" s="28" t="s">
        <v>44</v>
      </c>
      <c r="J23" t="s">
        <v>539</v>
      </c>
    </row>
    <row r="24" spans="1:10" x14ac:dyDescent="0.2">
      <c r="I24" s="25" t="s">
        <v>45</v>
      </c>
      <c r="J24" t="str" cm="1">
        <f t="array" ref="J24">_xlfn.XLOOKUP($J$23,$C$1:$C$21,INDEX($A$1:$E$21,,MATCH(I24,$A$1:$E$1,0)),"data not found ")</f>
        <v xml:space="preserve">data not found </v>
      </c>
    </row>
    <row r="25" spans="1:10" x14ac:dyDescent="0.2">
      <c r="I25" s="25" t="s">
        <v>46</v>
      </c>
      <c r="J25" t="str" cm="1">
        <f t="array" ref="J25">_xlfn.XLOOKUP($J$23,$C$1:$C$21,INDEX($A$1:$E$21,,MATCH(I25,$A$1:$E$1,0)),"data not found ")</f>
        <v xml:space="preserve">data not found </v>
      </c>
    </row>
    <row r="26" spans="1:10" x14ac:dyDescent="0.2">
      <c r="I26" s="25" t="s">
        <v>47</v>
      </c>
      <c r="J26" t="str" cm="1">
        <f t="array" ref="J26">_xlfn.XLOOKUP($J$23,$C$1:$C$21,INDEX($A$1:$E$21,,MATCH(I26,$A$1:$E$1,0)),"data not found ")</f>
        <v xml:space="preserve">data not found </v>
      </c>
    </row>
    <row r="27" spans="1:10" x14ac:dyDescent="0.2">
      <c r="I27" s="25" t="s">
        <v>51</v>
      </c>
      <c r="J27" t="str" cm="1">
        <f t="array" ref="J27">_xlfn.XLOOKUP($J$23,$C$1:$C$21,INDEX($A$1:$E$21,,MATCH(I27,$A$1:$E$1,0)),"data not found ")</f>
        <v xml:space="preserve">data not found </v>
      </c>
    </row>
  </sheetData>
  <dataValidations count="1">
    <dataValidation type="list" allowBlank="1" showInputMessage="1" showErrorMessage="1" sqref="J2" xr:uid="{C3E77F0E-A2CC-8F4D-86E0-85111BEDFC06}">
      <formula1>$C$1:$C$21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298FB-06FD-EF48-A000-BF11826F30F9}">
  <dimension ref="A1:P21"/>
  <sheetViews>
    <sheetView workbookViewId="0">
      <selection activeCell="H3" sqref="H3"/>
    </sheetView>
  </sheetViews>
  <sheetFormatPr baseColWidth="10" defaultRowHeight="16" x14ac:dyDescent="0.2"/>
  <cols>
    <col min="7" max="7" width="14.6640625" bestFit="1" customWidth="1"/>
    <col min="8" max="8" width="14" customWidth="1"/>
  </cols>
  <sheetData>
    <row r="1" spans="1:16" x14ac:dyDescent="0.2">
      <c r="A1" t="s">
        <v>45</v>
      </c>
      <c r="B1" t="s">
        <v>46</v>
      </c>
      <c r="C1" t="s">
        <v>44</v>
      </c>
      <c r="D1" t="s">
        <v>47</v>
      </c>
      <c r="E1" t="s">
        <v>51</v>
      </c>
      <c r="L1" t="s">
        <v>44</v>
      </c>
      <c r="M1" t="s">
        <v>45</v>
      </c>
      <c r="N1" t="s">
        <v>46</v>
      </c>
      <c r="O1" t="s">
        <v>47</v>
      </c>
      <c r="P1" t="s">
        <v>51</v>
      </c>
    </row>
    <row r="2" spans="1:16" x14ac:dyDescent="0.2">
      <c r="A2" t="s">
        <v>65</v>
      </c>
      <c r="B2" t="s">
        <v>66</v>
      </c>
      <c r="C2" t="s">
        <v>64</v>
      </c>
      <c r="D2" t="s">
        <v>67</v>
      </c>
      <c r="E2">
        <v>50000</v>
      </c>
      <c r="G2" s="28" t="s">
        <v>44</v>
      </c>
      <c r="H2" t="s">
        <v>578</v>
      </c>
      <c r="L2" t="s">
        <v>540</v>
      </c>
      <c r="M2" t="s">
        <v>541</v>
      </c>
      <c r="N2" t="s">
        <v>101</v>
      </c>
      <c r="O2" t="s">
        <v>67</v>
      </c>
      <c r="P2">
        <v>38000</v>
      </c>
    </row>
    <row r="3" spans="1:16" ht="17" x14ac:dyDescent="0.2">
      <c r="A3" t="s">
        <v>73</v>
      </c>
      <c r="B3" t="s">
        <v>74</v>
      </c>
      <c r="C3" t="s">
        <v>72</v>
      </c>
      <c r="D3" t="s">
        <v>75</v>
      </c>
      <c r="E3">
        <v>30000</v>
      </c>
      <c r="G3" s="25" t="s">
        <v>45</v>
      </c>
      <c r="H3" s="30" t="str" cm="1">
        <f t="array" ref="H3">_xlfn.XLOOKUP($H$2,$C$1:$C$21,INDEX($A$1:$E$21,,MATCH(G3,$A$1:$E$1,0)),_xlfn.XLOOKUP($H$2,$L$1:$L$21,INDEX($L$1:$P$21,,MATCH(G3,$L$1:$P$1,0))))</f>
        <v>Palak Sethi</v>
      </c>
      <c r="L3" t="s">
        <v>542</v>
      </c>
      <c r="M3" t="s">
        <v>543</v>
      </c>
      <c r="N3" t="s">
        <v>66</v>
      </c>
      <c r="O3" t="s">
        <v>75</v>
      </c>
      <c r="P3">
        <v>31000</v>
      </c>
    </row>
    <row r="4" spans="1:16" x14ac:dyDescent="0.2">
      <c r="A4" t="s">
        <v>81</v>
      </c>
      <c r="B4" t="s">
        <v>82</v>
      </c>
      <c r="C4" t="s">
        <v>80</v>
      </c>
      <c r="D4" t="s">
        <v>83</v>
      </c>
      <c r="E4">
        <v>70000</v>
      </c>
      <c r="G4" s="25" t="s">
        <v>46</v>
      </c>
      <c r="H4" t="str" cm="1">
        <f t="array" ref="H4">_xlfn.XLOOKUP($H$2,$C$1:$C$21,INDEX($A$1:$E$21,,MATCH(G4,$A$1:$E$1,0)),_xlfn.XLOOKUP($H$2,$L$1:$L$21,INDEX($L$1:$P$21,,MATCH(G4,$L$1:$P$1,0))))</f>
        <v>Marketing</v>
      </c>
      <c r="L4" t="s">
        <v>544</v>
      </c>
      <c r="M4" t="s">
        <v>545</v>
      </c>
      <c r="N4" t="s">
        <v>82</v>
      </c>
      <c r="O4" t="s">
        <v>83</v>
      </c>
      <c r="P4">
        <v>48000</v>
      </c>
    </row>
    <row r="5" spans="1:16" x14ac:dyDescent="0.2">
      <c r="A5" t="s">
        <v>88</v>
      </c>
      <c r="B5" t="s">
        <v>89</v>
      </c>
      <c r="C5" t="s">
        <v>87</v>
      </c>
      <c r="D5" t="s">
        <v>90</v>
      </c>
      <c r="E5">
        <v>45000</v>
      </c>
      <c r="G5" s="25" t="s">
        <v>47</v>
      </c>
      <c r="H5" t="str" cm="1">
        <f t="array" ref="H5">_xlfn.XLOOKUP($H$2,$C$1:$C$21,INDEX($A$1:$E$21,,MATCH(G5,$A$1:$E$1,0)),_xlfn.XLOOKUP($H$2,$L$1:$L$21,INDEX($L$1:$P$21,,MATCH(G5,$L$1:$P$1,0))))</f>
        <v>East</v>
      </c>
      <c r="L5" t="s">
        <v>546</v>
      </c>
      <c r="M5" t="s">
        <v>547</v>
      </c>
      <c r="N5" t="s">
        <v>89</v>
      </c>
      <c r="O5" t="s">
        <v>90</v>
      </c>
      <c r="P5">
        <v>53000</v>
      </c>
    </row>
    <row r="6" spans="1:16" x14ac:dyDescent="0.2">
      <c r="A6" t="s">
        <v>95</v>
      </c>
      <c r="B6" t="s">
        <v>66</v>
      </c>
      <c r="C6" t="s">
        <v>94</v>
      </c>
      <c r="D6" t="s">
        <v>67</v>
      </c>
      <c r="E6">
        <v>55000</v>
      </c>
      <c r="G6" s="25" t="s">
        <v>51</v>
      </c>
      <c r="H6" cm="1">
        <f t="array" ref="H6">_xlfn.XLOOKUP($H$2,$C$1:$C$21,INDEX($A$1:$E$21,,MATCH(G6,$A$1:$E$1,0)),_xlfn.XLOOKUP($H$2,$L$1:$L$21,INDEX($L$1:$P$21,,MATCH(G6,$L$1:$P$1,0))))</f>
        <v>46000</v>
      </c>
      <c r="L6" t="s">
        <v>548</v>
      </c>
      <c r="M6" t="s">
        <v>549</v>
      </c>
      <c r="N6" t="s">
        <v>74</v>
      </c>
      <c r="O6" t="s">
        <v>67</v>
      </c>
      <c r="P6">
        <v>85000</v>
      </c>
    </row>
    <row r="7" spans="1:16" x14ac:dyDescent="0.2">
      <c r="A7" t="s">
        <v>100</v>
      </c>
      <c r="B7" t="s">
        <v>101</v>
      </c>
      <c r="C7" t="s">
        <v>99</v>
      </c>
      <c r="D7" t="s">
        <v>75</v>
      </c>
      <c r="E7">
        <v>40000</v>
      </c>
      <c r="L7" t="s">
        <v>550</v>
      </c>
      <c r="M7" t="s">
        <v>551</v>
      </c>
      <c r="N7" t="s">
        <v>101</v>
      </c>
      <c r="O7" t="s">
        <v>75</v>
      </c>
      <c r="P7">
        <v>41000</v>
      </c>
    </row>
    <row r="8" spans="1:16" x14ac:dyDescent="0.2">
      <c r="A8" t="s">
        <v>106</v>
      </c>
      <c r="B8" t="s">
        <v>82</v>
      </c>
      <c r="C8" t="s">
        <v>105</v>
      </c>
      <c r="D8" t="s">
        <v>83</v>
      </c>
      <c r="E8">
        <v>72000</v>
      </c>
      <c r="L8" t="s">
        <v>552</v>
      </c>
      <c r="M8" t="s">
        <v>553</v>
      </c>
      <c r="N8" t="s">
        <v>82</v>
      </c>
      <c r="O8" t="s">
        <v>83</v>
      </c>
      <c r="P8">
        <v>36000</v>
      </c>
    </row>
    <row r="9" spans="1:16" x14ac:dyDescent="0.2">
      <c r="A9" t="s">
        <v>111</v>
      </c>
      <c r="B9" t="s">
        <v>89</v>
      </c>
      <c r="C9" t="s">
        <v>110</v>
      </c>
      <c r="D9" t="s">
        <v>90</v>
      </c>
      <c r="E9">
        <v>38000</v>
      </c>
      <c r="L9" t="s">
        <v>554</v>
      </c>
      <c r="M9" t="s">
        <v>555</v>
      </c>
      <c r="N9" t="s">
        <v>66</v>
      </c>
      <c r="O9" t="s">
        <v>90</v>
      </c>
      <c r="P9">
        <v>50000</v>
      </c>
    </row>
    <row r="10" spans="1:16" x14ac:dyDescent="0.2">
      <c r="A10" t="s">
        <v>115</v>
      </c>
      <c r="B10" t="s">
        <v>74</v>
      </c>
      <c r="C10" t="s">
        <v>114</v>
      </c>
      <c r="D10" t="s">
        <v>75</v>
      </c>
      <c r="E10">
        <v>31000</v>
      </c>
      <c r="L10" t="s">
        <v>556</v>
      </c>
      <c r="M10" t="s">
        <v>557</v>
      </c>
      <c r="N10" t="s">
        <v>89</v>
      </c>
      <c r="O10" t="s">
        <v>75</v>
      </c>
      <c r="P10">
        <v>78000</v>
      </c>
    </row>
    <row r="11" spans="1:16" x14ac:dyDescent="0.2">
      <c r="A11" t="s">
        <v>118</v>
      </c>
      <c r="B11" t="s">
        <v>101</v>
      </c>
      <c r="C11" t="s">
        <v>117</v>
      </c>
      <c r="D11" t="s">
        <v>67</v>
      </c>
      <c r="E11">
        <v>48000</v>
      </c>
      <c r="L11" t="s">
        <v>558</v>
      </c>
      <c r="M11" t="s">
        <v>559</v>
      </c>
      <c r="N11" t="s">
        <v>74</v>
      </c>
      <c r="O11" t="s">
        <v>67</v>
      </c>
      <c r="P11">
        <v>61000</v>
      </c>
    </row>
    <row r="12" spans="1:16" x14ac:dyDescent="0.2">
      <c r="A12" t="s">
        <v>122</v>
      </c>
      <c r="B12" t="s">
        <v>66</v>
      </c>
      <c r="C12" t="s">
        <v>121</v>
      </c>
      <c r="D12" t="s">
        <v>83</v>
      </c>
      <c r="E12">
        <v>53000</v>
      </c>
      <c r="L12" t="s">
        <v>560</v>
      </c>
      <c r="M12" t="s">
        <v>561</v>
      </c>
      <c r="N12" t="s">
        <v>66</v>
      </c>
      <c r="O12" t="s">
        <v>83</v>
      </c>
      <c r="P12">
        <v>39000</v>
      </c>
    </row>
    <row r="13" spans="1:16" x14ac:dyDescent="0.2">
      <c r="A13" t="s">
        <v>125</v>
      </c>
      <c r="B13" t="s">
        <v>82</v>
      </c>
      <c r="C13" t="s">
        <v>124</v>
      </c>
      <c r="D13" t="s">
        <v>90</v>
      </c>
      <c r="E13">
        <v>85000</v>
      </c>
      <c r="L13" t="s">
        <v>562</v>
      </c>
      <c r="M13" t="s">
        <v>563</v>
      </c>
      <c r="N13" t="s">
        <v>82</v>
      </c>
      <c r="O13" t="s">
        <v>90</v>
      </c>
      <c r="P13">
        <v>34000</v>
      </c>
    </row>
    <row r="14" spans="1:16" x14ac:dyDescent="0.2">
      <c r="A14" t="s">
        <v>131</v>
      </c>
      <c r="B14" t="s">
        <v>89</v>
      </c>
      <c r="C14" t="s">
        <v>130</v>
      </c>
      <c r="D14" t="s">
        <v>75</v>
      </c>
      <c r="E14">
        <v>41000</v>
      </c>
      <c r="L14" t="s">
        <v>564</v>
      </c>
      <c r="M14" t="s">
        <v>565</v>
      </c>
      <c r="N14" t="s">
        <v>89</v>
      </c>
      <c r="O14" t="s">
        <v>75</v>
      </c>
      <c r="P14">
        <v>46000</v>
      </c>
    </row>
    <row r="15" spans="1:16" x14ac:dyDescent="0.2">
      <c r="A15" t="s">
        <v>135</v>
      </c>
      <c r="B15" t="s">
        <v>74</v>
      </c>
      <c r="C15" t="s">
        <v>134</v>
      </c>
      <c r="D15" t="s">
        <v>83</v>
      </c>
      <c r="E15">
        <v>36000</v>
      </c>
      <c r="L15" t="s">
        <v>566</v>
      </c>
      <c r="M15" t="s">
        <v>567</v>
      </c>
      <c r="N15" t="s">
        <v>74</v>
      </c>
      <c r="O15" t="s">
        <v>83</v>
      </c>
      <c r="P15">
        <v>36000</v>
      </c>
    </row>
    <row r="16" spans="1:16" x14ac:dyDescent="0.2">
      <c r="A16" t="s">
        <v>140</v>
      </c>
      <c r="B16" t="s">
        <v>101</v>
      </c>
      <c r="C16" t="s">
        <v>139</v>
      </c>
      <c r="D16" t="s">
        <v>67</v>
      </c>
      <c r="E16">
        <v>50000</v>
      </c>
      <c r="L16" t="s">
        <v>568</v>
      </c>
      <c r="M16" t="s">
        <v>569</v>
      </c>
      <c r="N16" t="s">
        <v>101</v>
      </c>
      <c r="O16" t="s">
        <v>67</v>
      </c>
      <c r="P16">
        <v>50000</v>
      </c>
    </row>
    <row r="17" spans="1:16" x14ac:dyDescent="0.2">
      <c r="A17" t="s">
        <v>144</v>
      </c>
      <c r="B17" t="s">
        <v>82</v>
      </c>
      <c r="C17" t="s">
        <v>143</v>
      </c>
      <c r="D17" t="s">
        <v>90</v>
      </c>
      <c r="E17">
        <v>78000</v>
      </c>
      <c r="L17" t="s">
        <v>570</v>
      </c>
      <c r="M17" t="s">
        <v>571</v>
      </c>
      <c r="N17" t="s">
        <v>82</v>
      </c>
      <c r="O17" t="s">
        <v>90</v>
      </c>
      <c r="P17">
        <v>78000</v>
      </c>
    </row>
    <row r="18" spans="1:16" x14ac:dyDescent="0.2">
      <c r="A18" t="s">
        <v>147</v>
      </c>
      <c r="B18" t="s">
        <v>66</v>
      </c>
      <c r="C18" t="s">
        <v>146</v>
      </c>
      <c r="D18" t="s">
        <v>75</v>
      </c>
      <c r="E18">
        <v>61000</v>
      </c>
      <c r="L18" t="s">
        <v>572</v>
      </c>
      <c r="M18" t="s">
        <v>573</v>
      </c>
      <c r="N18" t="s">
        <v>66</v>
      </c>
      <c r="O18" t="s">
        <v>75</v>
      </c>
      <c r="P18">
        <v>61000</v>
      </c>
    </row>
    <row r="19" spans="1:16" x14ac:dyDescent="0.2">
      <c r="A19" t="s">
        <v>151</v>
      </c>
      <c r="B19" t="s">
        <v>89</v>
      </c>
      <c r="C19" t="s">
        <v>150</v>
      </c>
      <c r="D19" t="s">
        <v>83</v>
      </c>
      <c r="E19">
        <v>39000</v>
      </c>
      <c r="L19" t="s">
        <v>574</v>
      </c>
      <c r="M19" t="s">
        <v>575</v>
      </c>
      <c r="N19" t="s">
        <v>89</v>
      </c>
      <c r="O19" t="s">
        <v>83</v>
      </c>
      <c r="P19">
        <v>39000</v>
      </c>
    </row>
    <row r="20" spans="1:16" x14ac:dyDescent="0.2">
      <c r="A20" t="s">
        <v>155</v>
      </c>
      <c r="B20" t="s">
        <v>74</v>
      </c>
      <c r="C20" t="s">
        <v>154</v>
      </c>
      <c r="D20" t="s">
        <v>67</v>
      </c>
      <c r="E20">
        <v>34000</v>
      </c>
      <c r="L20" t="s">
        <v>576</v>
      </c>
      <c r="M20" t="s">
        <v>577</v>
      </c>
      <c r="N20" t="s">
        <v>74</v>
      </c>
      <c r="O20" t="s">
        <v>67</v>
      </c>
      <c r="P20">
        <v>34000</v>
      </c>
    </row>
    <row r="21" spans="1:16" x14ac:dyDescent="0.2">
      <c r="A21" t="s">
        <v>161</v>
      </c>
      <c r="B21" t="s">
        <v>101</v>
      </c>
      <c r="C21" t="s">
        <v>160</v>
      </c>
      <c r="D21" t="s">
        <v>90</v>
      </c>
      <c r="E21">
        <v>46000</v>
      </c>
      <c r="L21" t="s">
        <v>578</v>
      </c>
      <c r="M21" t="s">
        <v>579</v>
      </c>
      <c r="N21" t="s">
        <v>101</v>
      </c>
      <c r="O21" t="s">
        <v>90</v>
      </c>
      <c r="P21">
        <v>46000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1377-5912-C542-8903-3369BA50D4FB}">
  <dimension ref="A1:K21"/>
  <sheetViews>
    <sheetView zoomScale="125" workbookViewId="0">
      <selection activeCell="H15" sqref="H15"/>
    </sheetView>
  </sheetViews>
  <sheetFormatPr baseColWidth="10" defaultRowHeight="16" x14ac:dyDescent="0.2"/>
  <cols>
    <col min="8" max="8" width="15" bestFit="1" customWidth="1"/>
    <col min="9" max="9" width="11.6640625" bestFit="1" customWidth="1"/>
    <col min="11" max="11" width="12" customWidth="1"/>
  </cols>
  <sheetData>
    <row r="1" spans="1:11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580</v>
      </c>
      <c r="J1" t="s">
        <v>581</v>
      </c>
      <c r="K1" t="s">
        <v>580</v>
      </c>
    </row>
    <row r="2" spans="1:11" x14ac:dyDescent="0.2">
      <c r="A2" t="s">
        <v>64</v>
      </c>
      <c r="B2" t="s">
        <v>65</v>
      </c>
      <c r="C2" t="s">
        <v>66</v>
      </c>
      <c r="D2" t="s">
        <v>67</v>
      </c>
      <c r="E2">
        <v>51</v>
      </c>
      <c r="F2" s="35">
        <v>0.15</v>
      </c>
      <c r="J2" s="35">
        <v>0</v>
      </c>
      <c r="K2" s="35">
        <v>0</v>
      </c>
    </row>
    <row r="3" spans="1:11" x14ac:dyDescent="0.2">
      <c r="A3" t="s">
        <v>72</v>
      </c>
      <c r="B3" t="s">
        <v>73</v>
      </c>
      <c r="C3" t="s">
        <v>74</v>
      </c>
      <c r="D3" t="s">
        <v>75</v>
      </c>
      <c r="E3">
        <v>28</v>
      </c>
      <c r="F3" s="35">
        <v>0.05</v>
      </c>
      <c r="J3">
        <v>10</v>
      </c>
      <c r="K3" s="35">
        <v>0.05</v>
      </c>
    </row>
    <row r="4" spans="1:11" x14ac:dyDescent="0.2">
      <c r="A4" t="s">
        <v>80</v>
      </c>
      <c r="B4" t="s">
        <v>81</v>
      </c>
      <c r="C4" t="s">
        <v>82</v>
      </c>
      <c r="D4" t="s">
        <v>83</v>
      </c>
      <c r="E4">
        <v>70</v>
      </c>
      <c r="F4" s="35">
        <v>0.2</v>
      </c>
      <c r="J4">
        <v>30</v>
      </c>
      <c r="K4" s="35">
        <v>0.1</v>
      </c>
    </row>
    <row r="5" spans="1:11" x14ac:dyDescent="0.2">
      <c r="A5" t="s">
        <v>87</v>
      </c>
      <c r="B5" t="s">
        <v>88</v>
      </c>
      <c r="C5" t="s">
        <v>89</v>
      </c>
      <c r="D5" t="s">
        <v>90</v>
      </c>
      <c r="E5">
        <v>45</v>
      </c>
      <c r="F5" s="35">
        <v>0.1</v>
      </c>
      <c r="J5">
        <v>50</v>
      </c>
      <c r="K5" s="35">
        <v>0.15</v>
      </c>
    </row>
    <row r="6" spans="1:11" x14ac:dyDescent="0.2">
      <c r="A6" t="s">
        <v>94</v>
      </c>
      <c r="B6" t="s">
        <v>95</v>
      </c>
      <c r="C6" t="s">
        <v>66</v>
      </c>
      <c r="D6" t="s">
        <v>67</v>
      </c>
      <c r="E6">
        <v>55</v>
      </c>
      <c r="F6" s="35">
        <v>0.15</v>
      </c>
      <c r="J6">
        <v>70</v>
      </c>
      <c r="K6" s="35">
        <v>0.2</v>
      </c>
    </row>
    <row r="7" spans="1:11" x14ac:dyDescent="0.2">
      <c r="A7" t="s">
        <v>99</v>
      </c>
      <c r="B7" t="s">
        <v>100</v>
      </c>
      <c r="C7" t="s">
        <v>101</v>
      </c>
      <c r="D7" t="s">
        <v>75</v>
      </c>
      <c r="E7">
        <v>40</v>
      </c>
      <c r="F7" s="35">
        <v>0.1</v>
      </c>
      <c r="J7">
        <v>90</v>
      </c>
      <c r="K7" s="35">
        <v>0.25</v>
      </c>
    </row>
    <row r="8" spans="1:11" x14ac:dyDescent="0.2">
      <c r="A8" t="s">
        <v>105</v>
      </c>
      <c r="B8" t="s">
        <v>106</v>
      </c>
      <c r="C8" t="s">
        <v>82</v>
      </c>
      <c r="D8" t="s">
        <v>83</v>
      </c>
      <c r="E8">
        <v>72</v>
      </c>
      <c r="F8" s="35">
        <v>0.2</v>
      </c>
    </row>
    <row r="9" spans="1:11" x14ac:dyDescent="0.2">
      <c r="A9" t="s">
        <v>110</v>
      </c>
      <c r="B9" t="s">
        <v>111</v>
      </c>
      <c r="C9" t="s">
        <v>89</v>
      </c>
      <c r="D9" t="s">
        <v>90</v>
      </c>
      <c r="E9">
        <v>38</v>
      </c>
      <c r="F9" s="35">
        <v>0.1</v>
      </c>
    </row>
    <row r="10" spans="1:11" x14ac:dyDescent="0.2">
      <c r="A10" t="s">
        <v>114</v>
      </c>
      <c r="B10" t="s">
        <v>115</v>
      </c>
      <c r="C10" t="s">
        <v>74</v>
      </c>
      <c r="D10" t="s">
        <v>75</v>
      </c>
      <c r="E10">
        <v>31</v>
      </c>
      <c r="F10" s="35">
        <v>0.1</v>
      </c>
    </row>
    <row r="11" spans="1:11" x14ac:dyDescent="0.2">
      <c r="A11" t="s">
        <v>117</v>
      </c>
      <c r="B11" t="s">
        <v>118</v>
      </c>
      <c r="C11" t="s">
        <v>101</v>
      </c>
      <c r="D11" t="s">
        <v>67</v>
      </c>
      <c r="E11">
        <v>48</v>
      </c>
      <c r="F11" s="35">
        <v>0.1</v>
      </c>
      <c r="H11" s="28" t="s">
        <v>45</v>
      </c>
      <c r="I11" s="28" t="s">
        <v>51</v>
      </c>
    </row>
    <row r="12" spans="1:11" x14ac:dyDescent="0.2">
      <c r="A12" t="s">
        <v>121</v>
      </c>
      <c r="B12" t="s">
        <v>122</v>
      </c>
      <c r="C12" t="s">
        <v>66</v>
      </c>
      <c r="D12" t="s">
        <v>83</v>
      </c>
      <c r="E12">
        <v>53</v>
      </c>
      <c r="F12" s="35">
        <v>0.15</v>
      </c>
      <c r="H12" t="s">
        <v>582</v>
      </c>
      <c r="I12">
        <f>_xlfn.XLOOKUP("*"&amp;H12&amp;"*",$B$1:$B$21,$E$1:$E$21,,2)</f>
        <v>46</v>
      </c>
    </row>
    <row r="13" spans="1:11" x14ac:dyDescent="0.2">
      <c r="A13" t="s">
        <v>124</v>
      </c>
      <c r="B13" t="s">
        <v>125</v>
      </c>
      <c r="C13" t="s">
        <v>82</v>
      </c>
      <c r="D13" t="s">
        <v>90</v>
      </c>
      <c r="E13">
        <v>85</v>
      </c>
      <c r="F13" s="35">
        <v>0.2</v>
      </c>
    </row>
    <row r="14" spans="1:11" x14ac:dyDescent="0.2">
      <c r="A14" t="s">
        <v>130</v>
      </c>
      <c r="B14" t="s">
        <v>131</v>
      </c>
      <c r="C14" t="s">
        <v>89</v>
      </c>
      <c r="D14" t="s">
        <v>75</v>
      </c>
      <c r="E14">
        <v>41</v>
      </c>
      <c r="F14" s="35">
        <v>0.1</v>
      </c>
    </row>
    <row r="15" spans="1:11" x14ac:dyDescent="0.2">
      <c r="A15" t="s">
        <v>134</v>
      </c>
      <c r="B15" t="s">
        <v>135</v>
      </c>
      <c r="C15" t="s">
        <v>74</v>
      </c>
      <c r="D15" t="s">
        <v>83</v>
      </c>
      <c r="E15">
        <v>36</v>
      </c>
      <c r="F15" s="35">
        <v>0.1</v>
      </c>
    </row>
    <row r="16" spans="1:11" x14ac:dyDescent="0.2">
      <c r="A16" t="s">
        <v>139</v>
      </c>
      <c r="B16" t="s">
        <v>140</v>
      </c>
      <c r="C16" t="s">
        <v>101</v>
      </c>
      <c r="D16" t="s">
        <v>67</v>
      </c>
      <c r="E16">
        <v>50</v>
      </c>
      <c r="F16" s="35">
        <v>0.15</v>
      </c>
    </row>
    <row r="17" spans="1:6" x14ac:dyDescent="0.2">
      <c r="A17" t="s">
        <v>143</v>
      </c>
      <c r="B17" t="s">
        <v>144</v>
      </c>
      <c r="C17" t="s">
        <v>82</v>
      </c>
      <c r="D17" t="s">
        <v>90</v>
      </c>
      <c r="E17">
        <v>78</v>
      </c>
      <c r="F17" s="35">
        <v>0.2</v>
      </c>
    </row>
    <row r="18" spans="1:6" x14ac:dyDescent="0.2">
      <c r="A18" t="s">
        <v>146</v>
      </c>
      <c r="B18" t="s">
        <v>147</v>
      </c>
      <c r="C18" t="s">
        <v>66</v>
      </c>
      <c r="D18" t="s">
        <v>75</v>
      </c>
      <c r="E18">
        <v>61</v>
      </c>
      <c r="F18" s="35">
        <v>0.15</v>
      </c>
    </row>
    <row r="19" spans="1:6" x14ac:dyDescent="0.2">
      <c r="A19" t="s">
        <v>150</v>
      </c>
      <c r="B19" t="s">
        <v>151</v>
      </c>
      <c r="C19" t="s">
        <v>89</v>
      </c>
      <c r="D19" t="s">
        <v>83</v>
      </c>
      <c r="E19">
        <v>39</v>
      </c>
      <c r="F19" s="35">
        <v>0.1</v>
      </c>
    </row>
    <row r="20" spans="1:6" x14ac:dyDescent="0.2">
      <c r="A20" t="s">
        <v>154</v>
      </c>
      <c r="B20" t="s">
        <v>155</v>
      </c>
      <c r="C20" t="s">
        <v>74</v>
      </c>
      <c r="D20" t="s">
        <v>67</v>
      </c>
      <c r="E20">
        <v>34</v>
      </c>
      <c r="F20" s="35">
        <v>0.1</v>
      </c>
    </row>
    <row r="21" spans="1:6" x14ac:dyDescent="0.2">
      <c r="A21" t="s">
        <v>160</v>
      </c>
      <c r="B21" t="s">
        <v>161</v>
      </c>
      <c r="C21" t="s">
        <v>101</v>
      </c>
      <c r="D21" t="s">
        <v>90</v>
      </c>
      <c r="E21">
        <v>46</v>
      </c>
      <c r="F21" s="35">
        <v>0.1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AFED-8B0E-6149-9AD3-6D7B4EE65766}">
  <dimension ref="A1:L21"/>
  <sheetViews>
    <sheetView tabSelected="1" zoomScale="140" workbookViewId="0">
      <selection activeCell="H4" sqref="H4"/>
    </sheetView>
  </sheetViews>
  <sheetFormatPr baseColWidth="10" defaultRowHeight="16" x14ac:dyDescent="0.2"/>
  <cols>
    <col min="9" max="9" width="12.5" bestFit="1" customWidth="1"/>
  </cols>
  <sheetData>
    <row r="1" spans="1:12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</row>
    <row r="2" spans="1:12" x14ac:dyDescent="0.2">
      <c r="A2" t="s">
        <v>72</v>
      </c>
      <c r="B2" t="s">
        <v>73</v>
      </c>
      <c r="C2" t="s">
        <v>74</v>
      </c>
      <c r="D2" t="s">
        <v>75</v>
      </c>
      <c r="E2">
        <v>28</v>
      </c>
    </row>
    <row r="3" spans="1:12" x14ac:dyDescent="0.2">
      <c r="A3" t="s">
        <v>110</v>
      </c>
      <c r="B3" t="s">
        <v>111</v>
      </c>
      <c r="C3" t="s">
        <v>89</v>
      </c>
      <c r="D3" t="s">
        <v>90</v>
      </c>
      <c r="E3">
        <v>38</v>
      </c>
      <c r="H3">
        <v>70</v>
      </c>
      <c r="I3" t="str">
        <f>_xlfn.XLOOKUP(H3,$E$1:$E$21,$B$1:$B$21,,,1)</f>
        <v>Rohan Iyer</v>
      </c>
    </row>
    <row r="4" spans="1:12" x14ac:dyDescent="0.2">
      <c r="A4" t="s">
        <v>150</v>
      </c>
      <c r="B4" t="s">
        <v>151</v>
      </c>
      <c r="C4" t="s">
        <v>89</v>
      </c>
      <c r="D4" t="s">
        <v>83</v>
      </c>
      <c r="E4">
        <v>39</v>
      </c>
      <c r="H4">
        <v>70</v>
      </c>
      <c r="I4" t="str">
        <f>_xlfn.XLOOKUP(H4,$E$1:$E$21,$B$1:$B$21,,,-1)</f>
        <v>Pooja Reddy</v>
      </c>
    </row>
    <row r="5" spans="1:12" x14ac:dyDescent="0.2">
      <c r="A5" t="s">
        <v>130</v>
      </c>
      <c r="B5" t="s">
        <v>131</v>
      </c>
      <c r="C5" t="s">
        <v>89</v>
      </c>
      <c r="D5" t="s">
        <v>75</v>
      </c>
      <c r="E5">
        <v>41</v>
      </c>
    </row>
    <row r="6" spans="1:12" x14ac:dyDescent="0.2">
      <c r="A6" t="s">
        <v>160</v>
      </c>
      <c r="B6" t="s">
        <v>161</v>
      </c>
      <c r="C6" t="s">
        <v>101</v>
      </c>
      <c r="D6" t="s">
        <v>90</v>
      </c>
      <c r="E6">
        <v>46</v>
      </c>
    </row>
    <row r="7" spans="1:12" x14ac:dyDescent="0.2">
      <c r="A7" t="s">
        <v>117</v>
      </c>
      <c r="B7" t="s">
        <v>118</v>
      </c>
      <c r="C7" t="s">
        <v>101</v>
      </c>
      <c r="D7" t="s">
        <v>67</v>
      </c>
      <c r="E7">
        <v>48</v>
      </c>
    </row>
    <row r="8" spans="1:12" x14ac:dyDescent="0.2">
      <c r="A8" t="s">
        <v>139</v>
      </c>
      <c r="B8" t="s">
        <v>140</v>
      </c>
      <c r="C8" t="s">
        <v>101</v>
      </c>
      <c r="D8" t="s">
        <v>67</v>
      </c>
      <c r="E8">
        <v>50</v>
      </c>
    </row>
    <row r="9" spans="1:12" x14ac:dyDescent="0.2">
      <c r="A9" t="s">
        <v>64</v>
      </c>
      <c r="B9" t="s">
        <v>65</v>
      </c>
      <c r="C9" t="s">
        <v>66</v>
      </c>
      <c r="D9" t="s">
        <v>67</v>
      </c>
      <c r="E9">
        <v>51</v>
      </c>
    </row>
    <row r="10" spans="1:12" x14ac:dyDescent="0.2">
      <c r="A10" t="s">
        <v>87</v>
      </c>
      <c r="B10" t="s">
        <v>88</v>
      </c>
      <c r="C10" t="s">
        <v>89</v>
      </c>
      <c r="D10" t="s">
        <v>90</v>
      </c>
      <c r="E10">
        <v>51</v>
      </c>
      <c r="L10" t="s">
        <v>583</v>
      </c>
    </row>
    <row r="11" spans="1:12" x14ac:dyDescent="0.2">
      <c r="A11" t="s">
        <v>121</v>
      </c>
      <c r="B11" t="s">
        <v>122</v>
      </c>
      <c r="C11" t="s">
        <v>66</v>
      </c>
      <c r="D11" t="s">
        <v>83</v>
      </c>
      <c r="E11">
        <v>53</v>
      </c>
      <c r="L11" t="s">
        <v>584</v>
      </c>
    </row>
    <row r="12" spans="1:12" x14ac:dyDescent="0.2">
      <c r="A12" t="s">
        <v>94</v>
      </c>
      <c r="B12" t="s">
        <v>95</v>
      </c>
      <c r="C12" t="s">
        <v>66</v>
      </c>
      <c r="D12" t="s">
        <v>67</v>
      </c>
      <c r="E12">
        <v>55</v>
      </c>
    </row>
    <row r="13" spans="1:12" x14ac:dyDescent="0.2">
      <c r="A13" t="s">
        <v>146</v>
      </c>
      <c r="B13" t="s">
        <v>147</v>
      </c>
      <c r="C13" t="s">
        <v>66</v>
      </c>
      <c r="D13" t="s">
        <v>75</v>
      </c>
      <c r="E13">
        <v>61</v>
      </c>
    </row>
    <row r="14" spans="1:12" x14ac:dyDescent="0.2">
      <c r="A14" t="s">
        <v>80</v>
      </c>
      <c r="B14" t="s">
        <v>81</v>
      </c>
      <c r="C14" t="s">
        <v>82</v>
      </c>
      <c r="D14" t="s">
        <v>83</v>
      </c>
      <c r="E14">
        <v>70</v>
      </c>
    </row>
    <row r="15" spans="1:12" x14ac:dyDescent="0.2">
      <c r="A15" t="s">
        <v>99</v>
      </c>
      <c r="B15" t="s">
        <v>100</v>
      </c>
      <c r="C15" t="s">
        <v>101</v>
      </c>
      <c r="D15" t="s">
        <v>75</v>
      </c>
      <c r="E15">
        <v>70</v>
      </c>
    </row>
    <row r="16" spans="1:12" x14ac:dyDescent="0.2">
      <c r="A16" t="s">
        <v>114</v>
      </c>
      <c r="B16" t="s">
        <v>115</v>
      </c>
      <c r="C16" t="s">
        <v>74</v>
      </c>
      <c r="D16" t="s">
        <v>75</v>
      </c>
      <c r="E16">
        <v>70</v>
      </c>
    </row>
    <row r="17" spans="1:5" x14ac:dyDescent="0.2">
      <c r="A17" t="s">
        <v>134</v>
      </c>
      <c r="B17" t="s">
        <v>135</v>
      </c>
      <c r="C17" t="s">
        <v>74</v>
      </c>
      <c r="D17" t="s">
        <v>83</v>
      </c>
      <c r="E17">
        <v>70</v>
      </c>
    </row>
    <row r="18" spans="1:5" x14ac:dyDescent="0.2">
      <c r="A18" t="s">
        <v>154</v>
      </c>
      <c r="B18" t="s">
        <v>155</v>
      </c>
      <c r="C18" t="s">
        <v>74</v>
      </c>
      <c r="D18" t="s">
        <v>67</v>
      </c>
      <c r="E18">
        <v>71</v>
      </c>
    </row>
    <row r="19" spans="1:5" x14ac:dyDescent="0.2">
      <c r="A19" t="s">
        <v>105</v>
      </c>
      <c r="B19" t="s">
        <v>106</v>
      </c>
      <c r="C19" t="s">
        <v>82</v>
      </c>
      <c r="D19" t="s">
        <v>83</v>
      </c>
      <c r="E19">
        <v>72</v>
      </c>
    </row>
    <row r="20" spans="1:5" x14ac:dyDescent="0.2">
      <c r="A20" t="s">
        <v>143</v>
      </c>
      <c r="B20" t="s">
        <v>144</v>
      </c>
      <c r="C20" t="s">
        <v>82</v>
      </c>
      <c r="D20" t="s">
        <v>90</v>
      </c>
      <c r="E20">
        <v>78</v>
      </c>
    </row>
    <row r="21" spans="1:5" x14ac:dyDescent="0.2">
      <c r="A21" t="s">
        <v>124</v>
      </c>
      <c r="B21" t="s">
        <v>125</v>
      </c>
      <c r="C21" t="s">
        <v>82</v>
      </c>
      <c r="D21" t="s">
        <v>90</v>
      </c>
      <c r="E21">
        <v>85</v>
      </c>
    </row>
  </sheetData>
  <sortState xmlns:xlrd2="http://schemas.microsoft.com/office/spreadsheetml/2017/richdata2" ref="A2:E21">
    <sortCondition ref="E1:E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DAY 1</vt:lpstr>
      <vt:lpstr>DAY 2</vt:lpstr>
      <vt:lpstr>Day 2 condistional formating </vt:lpstr>
      <vt:lpstr>Day 3 condistional formating </vt:lpstr>
      <vt:lpstr>Sheet3</vt:lpstr>
      <vt:lpstr>Sheet2</vt:lpstr>
      <vt:lpstr>DUMMY DATASET</vt:lpstr>
      <vt:lpstr>Data Validation</vt:lpstr>
      <vt:lpstr>SUM IF</vt:lpstr>
      <vt:lpstr>SUMIFS</vt:lpstr>
      <vt:lpstr>COUNT COUNTA COUNTBLANK</vt:lpstr>
      <vt:lpstr>COUNTIF</vt:lpstr>
      <vt:lpstr>COUNTIFS</vt:lpstr>
      <vt:lpstr>AVERAGEIF</vt:lpstr>
      <vt:lpstr>AVERAGEIFS</vt:lpstr>
      <vt:lpstr>LEFT() RIGTH() FIND()</vt:lpstr>
      <vt:lpstr>REPT() SUBSTITUTE()</vt:lpstr>
      <vt:lpstr>CELL REFERENCE</vt:lpstr>
      <vt:lpstr>INDEX()&amp; MATCH()</vt:lpstr>
      <vt:lpstr>FREQUENCY()</vt:lpstr>
      <vt:lpstr>LOOKUP</vt:lpstr>
      <vt:lpstr>VLOOKUP_1</vt:lpstr>
      <vt:lpstr>VLOOKUP_2</vt:lpstr>
      <vt:lpstr>Nested_VLOOKUP</vt:lpstr>
      <vt:lpstr>RIGHT_TO_LEFT_VLOOKUP</vt:lpstr>
      <vt:lpstr>DOUBLE_VLOOKUP</vt:lpstr>
      <vt:lpstr>MULTIPLE_VLOOKUP</vt:lpstr>
      <vt:lpstr>XLOOKUP_1</vt:lpstr>
      <vt:lpstr>XLOOKUP_IF_NOT_FOUND</vt:lpstr>
      <vt:lpstr>XLOOKUP_MATCH_TYPE,</vt:lpstr>
      <vt:lpstr>XLOOKUP_SEARCH_MODE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2026-10-22T15:16:18Z</dcterms:modified>
</cp:coreProperties>
</file>